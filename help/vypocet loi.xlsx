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List1" sheetId="1" r:id="rId1"/>
    <sheet name="trpaslik" sheetId="2" r:id="rId2"/>
    <sheet name="zmutovaný wurm" sheetId="4" r:id="rId3"/>
  </sheets>
  <calcPr calcId="145621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J18" i="4" l="1"/>
  <c r="Q18" i="4" s="1"/>
  <c r="I18" i="4"/>
  <c r="O18" i="4" s="1"/>
  <c r="F18" i="4"/>
  <c r="J17" i="4"/>
  <c r="P17" i="4" s="1"/>
  <c r="I17" i="4"/>
  <c r="O17" i="4" s="1"/>
  <c r="F17" i="4"/>
  <c r="P16" i="4"/>
  <c r="J16" i="4"/>
  <c r="Q16" i="4" s="1"/>
  <c r="I16" i="4"/>
  <c r="N16" i="4" s="1"/>
  <c r="F16" i="4"/>
  <c r="J15" i="4"/>
  <c r="P15" i="4" s="1"/>
  <c r="I15" i="4"/>
  <c r="O15" i="4" s="1"/>
  <c r="F15" i="4"/>
  <c r="P14" i="4"/>
  <c r="M14" i="4" s="1"/>
  <c r="O14" i="4"/>
  <c r="J14" i="4"/>
  <c r="Q14" i="4" s="1"/>
  <c r="I14" i="4"/>
  <c r="N14" i="4" s="1"/>
  <c r="L14" i="4" s="1"/>
  <c r="F14" i="4"/>
  <c r="O13" i="4"/>
  <c r="J13" i="4"/>
  <c r="Q13" i="4" s="1"/>
  <c r="I13" i="4"/>
  <c r="N13" i="4" s="1"/>
  <c r="L13" i="4" s="1"/>
  <c r="F13" i="4"/>
  <c r="O12" i="4"/>
  <c r="J12" i="4"/>
  <c r="Q12" i="4" s="1"/>
  <c r="I12" i="4"/>
  <c r="N12" i="4" s="1"/>
  <c r="L12" i="4" s="1"/>
  <c r="F12" i="4"/>
  <c r="O11" i="4"/>
  <c r="J11" i="4"/>
  <c r="Q11" i="4" s="1"/>
  <c r="I11" i="4"/>
  <c r="N11" i="4" s="1"/>
  <c r="L11" i="4" s="1"/>
  <c r="F11" i="4"/>
  <c r="Q10" i="4"/>
  <c r="P10" i="4"/>
  <c r="M10" i="4" s="1"/>
  <c r="J10" i="4"/>
  <c r="I10" i="4"/>
  <c r="N10" i="4" s="1"/>
  <c r="H10" i="4"/>
  <c r="F10" i="4"/>
  <c r="O9" i="4"/>
  <c r="J9" i="4"/>
  <c r="Q9" i="4" s="1"/>
  <c r="I9" i="4"/>
  <c r="N9" i="4" s="1"/>
  <c r="L9" i="4" s="1"/>
  <c r="H9" i="4"/>
  <c r="F9" i="4"/>
  <c r="P8" i="4"/>
  <c r="J8" i="4"/>
  <c r="Q8" i="4" s="1"/>
  <c r="I8" i="4"/>
  <c r="O8" i="4" s="1"/>
  <c r="F8" i="4"/>
  <c r="O7" i="4"/>
  <c r="J7" i="4"/>
  <c r="Q7" i="4" s="1"/>
  <c r="I7" i="4"/>
  <c r="N7" i="4" s="1"/>
  <c r="L7" i="4" s="1"/>
  <c r="F7" i="4"/>
  <c r="Q6" i="4"/>
  <c r="P6" i="4"/>
  <c r="M6" i="4" s="1"/>
  <c r="J6" i="4"/>
  <c r="I6" i="4"/>
  <c r="N6" i="4" s="1"/>
  <c r="F6" i="4"/>
  <c r="Q5" i="4"/>
  <c r="O5" i="4"/>
  <c r="J5" i="4"/>
  <c r="P5" i="4" s="1"/>
  <c r="M5" i="4" s="1"/>
  <c r="I5" i="4"/>
  <c r="N5" i="4" s="1"/>
  <c r="L5" i="4" s="1"/>
  <c r="H5" i="4"/>
  <c r="F5" i="4"/>
  <c r="P4" i="4"/>
  <c r="M4" i="4" s="1"/>
  <c r="J4" i="4"/>
  <c r="Q4" i="4" s="1"/>
  <c r="I4" i="4"/>
  <c r="O4" i="4" s="1"/>
  <c r="F4" i="4"/>
  <c r="O3" i="4"/>
  <c r="J3" i="4"/>
  <c r="Q3" i="4" s="1"/>
  <c r="I3" i="4"/>
  <c r="N3" i="4" s="1"/>
  <c r="L3" i="4" s="1"/>
  <c r="H3" i="4"/>
  <c r="F3" i="4"/>
  <c r="Q2" i="4"/>
  <c r="P2" i="4"/>
  <c r="M2" i="4" s="1"/>
  <c r="J2" i="4"/>
  <c r="I2" i="4"/>
  <c r="H2" i="4" s="1"/>
  <c r="F2" i="4"/>
  <c r="Q15" i="4" l="1"/>
  <c r="O16" i="4"/>
  <c r="M15" i="4"/>
  <c r="L16" i="4"/>
  <c r="Q17" i="4"/>
  <c r="M17" i="4" s="1"/>
  <c r="M8" i="4"/>
  <c r="M16" i="4"/>
  <c r="N2" i="4"/>
  <c r="O2" i="4"/>
  <c r="P3" i="4"/>
  <c r="M3" i="4" s="1"/>
  <c r="H4" i="4"/>
  <c r="O6" i="4"/>
  <c r="L6" i="4" s="1"/>
  <c r="P7" i="4"/>
  <c r="M7" i="4" s="1"/>
  <c r="H8" i="4"/>
  <c r="O10" i="4"/>
  <c r="L10" i="4" s="1"/>
  <c r="P11" i="4"/>
  <c r="M11" i="4" s="1"/>
  <c r="P13" i="4"/>
  <c r="M13" i="4" s="1"/>
  <c r="N18" i="4"/>
  <c r="L18" i="4" s="1"/>
  <c r="H7" i="4"/>
  <c r="N8" i="4"/>
  <c r="L8" i="4" s="1"/>
  <c r="H11" i="4"/>
  <c r="N4" i="4"/>
  <c r="L4" i="4" s="1"/>
  <c r="H6" i="4"/>
  <c r="P9" i="4"/>
  <c r="M9" i="4" s="1"/>
  <c r="P12" i="4"/>
  <c r="M12" i="4" s="1"/>
  <c r="N15" i="4"/>
  <c r="L15" i="4" s="1"/>
  <c r="N17" i="4"/>
  <c r="L17" i="4" s="1"/>
  <c r="P18" i="4"/>
  <c r="M18" i="4" s="1"/>
  <c r="H4" i="1"/>
  <c r="H5" i="1"/>
  <c r="H6" i="1"/>
  <c r="L2" i="4" l="1"/>
  <c r="Q19" i="2" l="1"/>
  <c r="J19" i="2"/>
  <c r="P19" i="2" s="1"/>
  <c r="M19" i="2" s="1"/>
  <c r="I19" i="2"/>
  <c r="O19" i="2" s="1"/>
  <c r="F19" i="2"/>
  <c r="N18" i="2"/>
  <c r="J18" i="2"/>
  <c r="Q18" i="2" s="1"/>
  <c r="I18" i="2"/>
  <c r="O18" i="2" s="1"/>
  <c r="F18" i="2"/>
  <c r="Q17" i="2"/>
  <c r="J17" i="2"/>
  <c r="P17" i="2" s="1"/>
  <c r="M17" i="2" s="1"/>
  <c r="I17" i="2"/>
  <c r="O17" i="2" s="1"/>
  <c r="F17" i="2"/>
  <c r="N16" i="2"/>
  <c r="J16" i="2"/>
  <c r="P16" i="2" s="1"/>
  <c r="I16" i="2"/>
  <c r="O16" i="2" s="1"/>
  <c r="F16" i="2"/>
  <c r="Q15" i="2"/>
  <c r="J15" i="2"/>
  <c r="P15" i="2" s="1"/>
  <c r="M15" i="2" s="1"/>
  <c r="I15" i="2"/>
  <c r="O15" i="2" s="1"/>
  <c r="F15" i="2"/>
  <c r="N14" i="2"/>
  <c r="J14" i="2"/>
  <c r="Q14" i="2" s="1"/>
  <c r="I14" i="2"/>
  <c r="O14" i="2" s="1"/>
  <c r="F14" i="2"/>
  <c r="Q13" i="2"/>
  <c r="J13" i="2"/>
  <c r="P13" i="2" s="1"/>
  <c r="M13" i="2" s="1"/>
  <c r="I13" i="2"/>
  <c r="O13" i="2" s="1"/>
  <c r="F13" i="2"/>
  <c r="Q12" i="2"/>
  <c r="P12" i="2"/>
  <c r="O12" i="2"/>
  <c r="N12" i="2"/>
  <c r="L12" i="2" s="1"/>
  <c r="M12" i="2"/>
  <c r="J12" i="2"/>
  <c r="I12" i="2"/>
  <c r="F12" i="2"/>
  <c r="Q11" i="2"/>
  <c r="P11" i="2"/>
  <c r="O11" i="2"/>
  <c r="N11" i="2"/>
  <c r="M11" i="2"/>
  <c r="L11" i="2"/>
  <c r="J11" i="2"/>
  <c r="I11" i="2"/>
  <c r="F11" i="2"/>
  <c r="Q10" i="2"/>
  <c r="P10" i="2"/>
  <c r="O10" i="2"/>
  <c r="N10" i="2"/>
  <c r="L10" i="2" s="1"/>
  <c r="M10" i="2"/>
  <c r="J10" i="2"/>
  <c r="I10" i="2"/>
  <c r="F10" i="2"/>
  <c r="Q9" i="2"/>
  <c r="P9" i="2"/>
  <c r="O9" i="2"/>
  <c r="N9" i="2"/>
  <c r="M9" i="2"/>
  <c r="L9" i="2"/>
  <c r="J9" i="2"/>
  <c r="I9" i="2"/>
  <c r="F9" i="2"/>
  <c r="Q8" i="2"/>
  <c r="P8" i="2"/>
  <c r="O8" i="2"/>
  <c r="N8" i="2"/>
  <c r="L8" i="2" s="1"/>
  <c r="M8" i="2"/>
  <c r="J8" i="2"/>
  <c r="I8" i="2"/>
  <c r="F8" i="2"/>
  <c r="Q7" i="2"/>
  <c r="P7" i="2"/>
  <c r="O7" i="2"/>
  <c r="N7" i="2"/>
  <c r="M7" i="2"/>
  <c r="L7" i="2"/>
  <c r="J7" i="2"/>
  <c r="I7" i="2"/>
  <c r="F7" i="2"/>
  <c r="Q6" i="2"/>
  <c r="P6" i="2"/>
  <c r="O6" i="2"/>
  <c r="N6" i="2"/>
  <c r="L6" i="2" s="1"/>
  <c r="M6" i="2"/>
  <c r="J6" i="2"/>
  <c r="I6" i="2"/>
  <c r="F6" i="2"/>
  <c r="Q5" i="2"/>
  <c r="P5" i="2"/>
  <c r="O5" i="2"/>
  <c r="N5" i="2"/>
  <c r="M5" i="2"/>
  <c r="L5" i="2"/>
  <c r="J5" i="2"/>
  <c r="I5" i="2"/>
  <c r="F5" i="2"/>
  <c r="J4" i="2"/>
  <c r="P4" i="2" s="1"/>
  <c r="I4" i="2"/>
  <c r="O4" i="2" s="1"/>
  <c r="F4" i="2"/>
  <c r="Q3" i="2"/>
  <c r="P3" i="2"/>
  <c r="M3" i="2"/>
  <c r="J3" i="2"/>
  <c r="I3" i="2"/>
  <c r="O3" i="2" s="1"/>
  <c r="F3" i="2"/>
  <c r="J2" i="2"/>
  <c r="Q2" i="2" s="1"/>
  <c r="I2" i="2"/>
  <c r="N2" i="2" s="1"/>
  <c r="F2" i="2"/>
  <c r="L15" i="2" l="1"/>
  <c r="L13" i="2"/>
  <c r="L14" i="2"/>
  <c r="L18" i="2"/>
  <c r="N15" i="2"/>
  <c r="Q16" i="2"/>
  <c r="M16" i="2" s="1"/>
  <c r="N19" i="2"/>
  <c r="L19" i="2" s="1"/>
  <c r="P18" i="2"/>
  <c r="M18" i="2" s="1"/>
  <c r="P14" i="2"/>
  <c r="M14" i="2" s="1"/>
  <c r="L16" i="2"/>
  <c r="N13" i="2"/>
  <c r="N17" i="2"/>
  <c r="L17" i="2" s="1"/>
  <c r="L2" i="2"/>
  <c r="Q4" i="2"/>
  <c r="M4" i="2" s="1"/>
  <c r="P2" i="2"/>
  <c r="M2" i="2" s="1"/>
  <c r="N3" i="2"/>
  <c r="L3" i="2" s="1"/>
  <c r="N4" i="2"/>
  <c r="L4" i="2" s="1"/>
  <c r="O2" i="2"/>
  <c r="J14" i="1"/>
  <c r="P14" i="1" s="1"/>
  <c r="I14" i="1"/>
  <c r="O14" i="1" s="1"/>
  <c r="F14" i="1"/>
  <c r="Q14" i="1" l="1"/>
  <c r="M14" i="1" s="1"/>
  <c r="N14" i="1"/>
  <c r="L14" i="1" s="1"/>
  <c r="J18" i="1"/>
  <c r="Q18" i="1" s="1"/>
  <c r="I18" i="1"/>
  <c r="O18" i="1" s="1"/>
  <c r="F18" i="1"/>
  <c r="J17" i="1"/>
  <c r="P17" i="1" s="1"/>
  <c r="I17" i="1"/>
  <c r="N17" i="1" s="1"/>
  <c r="F17" i="1"/>
  <c r="J16" i="1"/>
  <c r="Q16" i="1" s="1"/>
  <c r="I16" i="1"/>
  <c r="N16" i="1" s="1"/>
  <c r="F16" i="1"/>
  <c r="N18" i="1" l="1"/>
  <c r="L18" i="1" s="1"/>
  <c r="P18" i="1"/>
  <c r="M18" i="1" s="1"/>
  <c r="O17" i="1"/>
  <c r="L17" i="1" s="1"/>
  <c r="O16" i="1"/>
  <c r="L16" i="1" s="1"/>
  <c r="Q17" i="1"/>
  <c r="M17" i="1" s="1"/>
  <c r="P16" i="1"/>
  <c r="M16" i="1" s="1"/>
  <c r="J3" i="1"/>
  <c r="J4" i="1"/>
  <c r="J5" i="1"/>
  <c r="J6" i="1"/>
  <c r="J7" i="1"/>
  <c r="H7" i="1" s="1"/>
  <c r="J8" i="1"/>
  <c r="H8" i="1" s="1"/>
  <c r="J9" i="1"/>
  <c r="H9" i="1" s="1"/>
  <c r="J10" i="1"/>
  <c r="H10" i="1" s="1"/>
  <c r="J11" i="1"/>
  <c r="H11" i="1" s="1"/>
  <c r="J12" i="1"/>
  <c r="H12" i="1" s="1"/>
  <c r="J13" i="1"/>
  <c r="J15" i="1"/>
  <c r="J2" i="1"/>
  <c r="P11" i="1" l="1"/>
  <c r="P10" i="1"/>
  <c r="Q2" i="1"/>
  <c r="P2" i="1"/>
  <c r="P3" i="1"/>
  <c r="P4" i="1"/>
  <c r="Q5" i="1"/>
  <c r="P6" i="1"/>
  <c r="P7" i="1"/>
  <c r="Q8" i="1"/>
  <c r="P9" i="1"/>
  <c r="Q12" i="1"/>
  <c r="P13" i="1"/>
  <c r="P15" i="1"/>
  <c r="I3" i="1"/>
  <c r="I4" i="1"/>
  <c r="N4" i="1" s="1"/>
  <c r="I5" i="1"/>
  <c r="N5" i="1" s="1"/>
  <c r="I6" i="1"/>
  <c r="I7" i="1"/>
  <c r="I8" i="1"/>
  <c r="I9" i="1"/>
  <c r="I10" i="1"/>
  <c r="I11" i="1"/>
  <c r="I12" i="1"/>
  <c r="O12" i="1" s="1"/>
  <c r="I13" i="1"/>
  <c r="N13" i="1" s="1"/>
  <c r="I15" i="1"/>
  <c r="N15" i="1" s="1"/>
  <c r="F3" i="1"/>
  <c r="F4" i="1"/>
  <c r="F5" i="1"/>
  <c r="F6" i="1"/>
  <c r="F7" i="1"/>
  <c r="F8" i="1"/>
  <c r="F9" i="1"/>
  <c r="F10" i="1"/>
  <c r="F11" i="1"/>
  <c r="F12" i="1"/>
  <c r="F13" i="1"/>
  <c r="F15" i="1"/>
  <c r="F2" i="1"/>
  <c r="I2" i="1"/>
  <c r="O3" i="1" l="1"/>
  <c r="H3" i="1"/>
  <c r="N2" i="1"/>
  <c r="H2" i="1"/>
  <c r="M2" i="1"/>
  <c r="N11" i="1"/>
  <c r="N7" i="1"/>
  <c r="O10" i="1"/>
  <c r="N9" i="1"/>
  <c r="O8" i="1"/>
  <c r="N6" i="1"/>
  <c r="O2" i="1"/>
  <c r="Q15" i="1"/>
  <c r="M15" i="1" s="1"/>
  <c r="O6" i="1"/>
  <c r="Q11" i="1"/>
  <c r="M11" i="1" s="1"/>
  <c r="O9" i="1"/>
  <c r="Q7" i="1"/>
  <c r="M7" i="1" s="1"/>
  <c r="Q4" i="1"/>
  <c r="O11" i="1"/>
  <c r="O4" i="1"/>
  <c r="L4" i="1" s="1"/>
  <c r="Q9" i="1"/>
  <c r="M9" i="1" s="1"/>
  <c r="M4" i="1"/>
  <c r="O15" i="1"/>
  <c r="L15" i="1" s="1"/>
  <c r="O7" i="1"/>
  <c r="Q13" i="1"/>
  <c r="M13" i="1" s="1"/>
  <c r="Q6" i="1"/>
  <c r="M6" i="1" s="1"/>
  <c r="O13" i="1"/>
  <c r="L13" i="1" s="1"/>
  <c r="N12" i="1"/>
  <c r="L12" i="1" s="1"/>
  <c r="N8" i="1"/>
  <c r="L8" i="1" s="1"/>
  <c r="O5" i="1"/>
  <c r="L5" i="1" s="1"/>
  <c r="Q10" i="1"/>
  <c r="M10" i="1" s="1"/>
  <c r="P12" i="1"/>
  <c r="M12" i="1" s="1"/>
  <c r="N10" i="1"/>
  <c r="P8" i="1"/>
  <c r="M8" i="1" s="1"/>
  <c r="P5" i="1"/>
  <c r="M5" i="1" s="1"/>
  <c r="Q3" i="1"/>
  <c r="M3" i="1" s="1"/>
  <c r="N3" i="1"/>
  <c r="L3" i="1" s="1"/>
  <c r="L2" i="1" l="1"/>
  <c r="L6" i="1"/>
  <c r="L11" i="1"/>
  <c r="L10" i="1"/>
  <c r="L7" i="1"/>
  <c r="L9" i="1"/>
</calcChain>
</file>

<file path=xl/sharedStrings.xml><?xml version="1.0" encoding="utf-8"?>
<sst xmlns="http://schemas.openxmlformats.org/spreadsheetml/2006/main" count="47" uniqueCount="21">
  <si>
    <t>Počet jednotek</t>
  </si>
  <si>
    <t>Dmg jednotky</t>
  </si>
  <si>
    <t>Útok jednotky</t>
  </si>
  <si>
    <t>Dmgc</t>
  </si>
  <si>
    <t>Menší útok</t>
  </si>
  <si>
    <t>Větší útok</t>
  </si>
  <si>
    <t>větší útok</t>
  </si>
  <si>
    <t>menší útok</t>
  </si>
  <si>
    <t>Předpokládaná obrana</t>
  </si>
  <si>
    <t>0,5252</t>
  </si>
  <si>
    <t>utok + dmg</t>
  </si>
  <si>
    <t>Obrana cíle</t>
  </si>
  <si>
    <t>zmutovaný wurm</t>
  </si>
  <si>
    <t>zivoty:120000</t>
  </si>
  <si>
    <t>hodnota: 120000</t>
  </si>
  <si>
    <t>obrana:</t>
  </si>
  <si>
    <t>utok:</t>
  </si>
  <si>
    <t>dmg:</t>
  </si>
  <si>
    <t>magie smrti: 3</t>
  </si>
  <si>
    <t>inic:3</t>
  </si>
  <si>
    <t>meteorit vs věž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</si>
</sst>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G2" sqref="G2:G18"/>
    </sheetView>
  </sheetViews>
  <sheetFormatPr defaultRowHeight="15" x14ac:dyDescent="0.25"/>
  <cols>
    <col min="1" max="1" width="14.5703125" bestFit="1" customWidth="1"/>
    <col min="2" max="2" width="10.5703125" customWidth="1"/>
    <col min="3" max="3" width="12.7109375" customWidth="1"/>
    <col min="4" max="4" width="12.5703125" customWidth="1"/>
    <col min="5" max="5" width="21.140625" bestFit="1" customWidth="1"/>
    <col min="6" max="8" width="16.28515625" bestFit="1" customWidth="1"/>
    <col min="9" max="9" width="11.28515625" customWidth="1"/>
    <col min="12" max="12" width="13.140625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1</v>
      </c>
      <c r="E1" t="s">
        <v>8</v>
      </c>
      <c r="F1" t="s">
        <v>4</v>
      </c>
      <c r="G1" t="s">
        <v>5</v>
      </c>
      <c r="I1" t="s">
        <v>7</v>
      </c>
      <c r="J1" t="s">
        <v>6</v>
      </c>
    </row>
    <row r="2" spans="1:17" x14ac:dyDescent="0.25">
      <c r="A2">
        <v>8</v>
      </c>
      <c r="B2">
        <v>2748</v>
      </c>
      <c r="C2">
        <v>22</v>
      </c>
      <c r="D2">
        <v>500</v>
      </c>
      <c r="E2">
        <v>38</v>
      </c>
      <c r="F2">
        <f>(50*B2-50*A2*D2-C2*A2*D2)/(-1*A2*D2)</f>
        <v>37.65</v>
      </c>
      <c r="G2">
        <f>(25*B2-20*A2*D2-C2*A2*D2)/(-1*A2*D2)</f>
        <v>24.824999999999999</v>
      </c>
      <c r="H2">
        <f>B2/(I2/100)</f>
        <v>101.0294117647059</v>
      </c>
      <c r="I2">
        <f>A2*D2*(1+(C2-E2)/50)</f>
        <v>2719.9999999999995</v>
      </c>
      <c r="J2">
        <f>A2*D2*(1+(C2-E2)/20)</f>
        <v>799.99999999999977</v>
      </c>
      <c r="L2" t="str">
        <f>IF((N2&lt;=B2),IF(O2&gt;=B2,"ANO","NE"),"NE")</f>
        <v>ANO</v>
      </c>
      <c r="M2" t="str">
        <f>IF((P2&lt;=B2),IF(Q2&gt;=B2,"ANO","NE"),"NE")</f>
        <v>NE</v>
      </c>
      <c r="N2">
        <f>I2*0.9</f>
        <v>2447.9999999999995</v>
      </c>
      <c r="O2">
        <f>I2*1.1</f>
        <v>2991.9999999999995</v>
      </c>
      <c r="P2">
        <f>J2*0.9</f>
        <v>719.99999999999977</v>
      </c>
      <c r="Q2">
        <f>J2*1.1</f>
        <v>879.99999999999977</v>
      </c>
    </row>
    <row r="3" spans="1:17" x14ac:dyDescent="0.25">
      <c r="A3">
        <v>1</v>
      </c>
      <c r="B3">
        <v>193</v>
      </c>
      <c r="C3">
        <v>15</v>
      </c>
      <c r="D3">
        <v>350</v>
      </c>
      <c r="E3">
        <v>38</v>
      </c>
      <c r="F3">
        <f t="shared" ref="F3:F15" si="0">(50*B3-50*A3*D3-C3*A3*D3)/(-1*A3*D3)</f>
        <v>37.428571428571431</v>
      </c>
      <c r="G3">
        <f t="shared" ref="G3:G18" si="1">(25*B3-20*A3*D3-C3*A3*D3)/(-1*A3*D3)</f>
        <v>21.214285714285715</v>
      </c>
      <c r="H3">
        <f>B3/(I3/100)</f>
        <v>102.11640211640213</v>
      </c>
      <c r="I3">
        <f t="shared" ref="I3:I15" si="2">A3*D3*(1+(C3-E3)/50)</f>
        <v>189</v>
      </c>
      <c r="J3">
        <f t="shared" ref="J3:J15" si="3">A3*D3*(1+(C3-E3)/20)</f>
        <v>-52.499999999999972</v>
      </c>
      <c r="L3" t="str">
        <f t="shared" ref="L3:L15" si="4">IF((N3&lt;=B3),IF(O3&gt;=B3,"ANO","NE"),"NE")</f>
        <v>ANO</v>
      </c>
      <c r="M3" t="str">
        <f t="shared" ref="M3:M15" si="5">IF((P3&lt;=B3),IF(Q3&gt;=B3,"ANO","NE"),"NE")</f>
        <v>NE</v>
      </c>
      <c r="N3">
        <f t="shared" ref="N3:N15" si="6">I3*0.9</f>
        <v>170.1</v>
      </c>
      <c r="O3">
        <f t="shared" ref="O3:O15" si="7">I3*1.1</f>
        <v>207.9</v>
      </c>
      <c r="P3">
        <f t="shared" ref="P3:P15" si="8">J3*0.9</f>
        <v>-47.249999999999979</v>
      </c>
      <c r="Q3">
        <f t="shared" ref="Q3:Q15" si="9">J3*1.1</f>
        <v>-57.749999999999972</v>
      </c>
    </row>
    <row r="4" spans="1:17" x14ac:dyDescent="0.25">
      <c r="A4">
        <v>8</v>
      </c>
      <c r="B4">
        <v>2720</v>
      </c>
      <c r="C4">
        <v>22</v>
      </c>
      <c r="D4">
        <v>500</v>
      </c>
      <c r="E4">
        <v>38</v>
      </c>
      <c r="F4">
        <f t="shared" si="0"/>
        <v>38</v>
      </c>
      <c r="G4">
        <f t="shared" si="1"/>
        <v>25</v>
      </c>
      <c r="H4">
        <f t="shared" ref="H4:H6" si="10">B4/(I4/100)</f>
        <v>100.00000000000001</v>
      </c>
      <c r="I4">
        <f t="shared" si="2"/>
        <v>2719.9999999999995</v>
      </c>
      <c r="J4">
        <f t="shared" si="3"/>
        <v>799.99999999999977</v>
      </c>
      <c r="L4" t="str">
        <f t="shared" si="4"/>
        <v>ANO</v>
      </c>
      <c r="M4" t="str">
        <f t="shared" si="5"/>
        <v>NE</v>
      </c>
      <c r="N4">
        <f t="shared" si="6"/>
        <v>2447.9999999999995</v>
      </c>
      <c r="O4">
        <f t="shared" si="7"/>
        <v>2991.9999999999995</v>
      </c>
      <c r="P4">
        <f t="shared" si="8"/>
        <v>719.99999999999977</v>
      </c>
      <c r="Q4">
        <f t="shared" si="9"/>
        <v>879.99999999999977</v>
      </c>
    </row>
    <row r="5" spans="1:17" x14ac:dyDescent="0.25">
      <c r="A5">
        <v>1</v>
      </c>
      <c r="B5">
        <v>186</v>
      </c>
      <c r="C5">
        <v>15</v>
      </c>
      <c r="D5">
        <v>350</v>
      </c>
      <c r="E5">
        <v>38</v>
      </c>
      <c r="F5">
        <f t="shared" si="0"/>
        <v>38.428571428571431</v>
      </c>
      <c r="G5">
        <f t="shared" si="1"/>
        <v>21.714285714285715</v>
      </c>
      <c r="H5">
        <f t="shared" si="10"/>
        <v>98.412698412698418</v>
      </c>
      <c r="I5">
        <f t="shared" si="2"/>
        <v>189</v>
      </c>
      <c r="J5">
        <f t="shared" si="3"/>
        <v>-52.499999999999972</v>
      </c>
      <c r="L5" t="str">
        <f t="shared" si="4"/>
        <v>ANO</v>
      </c>
      <c r="M5" t="str">
        <f t="shared" si="5"/>
        <v>NE</v>
      </c>
      <c r="N5">
        <f t="shared" si="6"/>
        <v>170.1</v>
      </c>
      <c r="O5">
        <f t="shared" si="7"/>
        <v>207.9</v>
      </c>
      <c r="P5">
        <f t="shared" si="8"/>
        <v>-47.249999999999979</v>
      </c>
      <c r="Q5">
        <f t="shared" si="9"/>
        <v>-57.749999999999972</v>
      </c>
    </row>
    <row r="6" spans="1:17" x14ac:dyDescent="0.25">
      <c r="A6">
        <v>676</v>
      </c>
      <c r="B6">
        <v>3691</v>
      </c>
      <c r="C6">
        <v>14</v>
      </c>
      <c r="D6">
        <v>10</v>
      </c>
      <c r="E6">
        <v>38</v>
      </c>
      <c r="F6">
        <f t="shared" si="0"/>
        <v>36.699704142011832</v>
      </c>
      <c r="G6">
        <f t="shared" si="1"/>
        <v>20.349852071005916</v>
      </c>
      <c r="H6">
        <f t="shared" si="10"/>
        <v>105.0011379153391</v>
      </c>
      <c r="I6">
        <f t="shared" si="2"/>
        <v>3515.2000000000003</v>
      </c>
      <c r="J6">
        <f t="shared" si="3"/>
        <v>-1351.9999999999998</v>
      </c>
      <c r="L6" t="str">
        <f t="shared" si="4"/>
        <v>ANO</v>
      </c>
      <c r="M6" t="str">
        <f t="shared" si="5"/>
        <v>NE</v>
      </c>
      <c r="N6">
        <f t="shared" si="6"/>
        <v>3163.6800000000003</v>
      </c>
      <c r="O6">
        <f t="shared" si="7"/>
        <v>3866.7200000000007</v>
      </c>
      <c r="P6">
        <f t="shared" si="8"/>
        <v>-1216.7999999999997</v>
      </c>
      <c r="Q6">
        <f t="shared" si="9"/>
        <v>-1487.1999999999998</v>
      </c>
    </row>
    <row r="7" spans="1:17" x14ac:dyDescent="0.25">
      <c r="E7">
        <v>3</v>
      </c>
      <c r="F7" t="e">
        <f t="shared" si="0"/>
        <v>#DIV/0!</v>
      </c>
      <c r="G7" t="e">
        <f t="shared" si="1"/>
        <v>#DIV/0!</v>
      </c>
      <c r="H7" t="e">
        <f t="shared" ref="H7" si="11">B7/(J7/100)</f>
        <v>#DIV/0!</v>
      </c>
      <c r="I7">
        <f t="shared" si="2"/>
        <v>0</v>
      </c>
      <c r="J7">
        <f t="shared" si="3"/>
        <v>0</v>
      </c>
      <c r="L7" t="str">
        <f t="shared" si="4"/>
        <v>ANO</v>
      </c>
      <c r="M7" t="str">
        <f t="shared" si="5"/>
        <v>ANO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</row>
    <row r="8" spans="1:17" x14ac:dyDescent="0.25">
      <c r="A8">
        <v>4</v>
      </c>
      <c r="B8">
        <v>137671</v>
      </c>
      <c r="C8">
        <v>30</v>
      </c>
      <c r="D8">
        <v>14000</v>
      </c>
      <c r="E8">
        <v>0</v>
      </c>
      <c r="F8">
        <f t="shared" si="0"/>
        <v>-42.920535714285712</v>
      </c>
      <c r="G8">
        <f t="shared" si="1"/>
        <v>-11.460267857142858</v>
      </c>
      <c r="H8">
        <f>B8/(J8/100)</f>
        <v>98.33642857142857</v>
      </c>
      <c r="I8">
        <f t="shared" si="2"/>
        <v>89600</v>
      </c>
      <c r="J8">
        <f t="shared" si="3"/>
        <v>140000</v>
      </c>
      <c r="L8" t="str">
        <f t="shared" si="4"/>
        <v>NE</v>
      </c>
      <c r="M8" t="str">
        <f t="shared" si="5"/>
        <v>ANO</v>
      </c>
      <c r="N8">
        <f t="shared" si="6"/>
        <v>80640</v>
      </c>
      <c r="O8">
        <f t="shared" si="7"/>
        <v>98560.000000000015</v>
      </c>
      <c r="P8">
        <f t="shared" si="8"/>
        <v>126000</v>
      </c>
      <c r="Q8">
        <f t="shared" si="9"/>
        <v>154000</v>
      </c>
    </row>
    <row r="9" spans="1:17" x14ac:dyDescent="0.25">
      <c r="A9">
        <v>1</v>
      </c>
      <c r="B9">
        <v>22116</v>
      </c>
      <c r="C9">
        <v>30</v>
      </c>
      <c r="D9">
        <v>14000</v>
      </c>
      <c r="E9">
        <v>20</v>
      </c>
      <c r="F9">
        <f t="shared" si="0"/>
        <v>1.0142857142857142</v>
      </c>
      <c r="G9">
        <f t="shared" si="1"/>
        <v>10.507142857142858</v>
      </c>
      <c r="H9">
        <f>B9/(J9/100)</f>
        <v>105.31428571428572</v>
      </c>
      <c r="I9">
        <f t="shared" si="2"/>
        <v>16800</v>
      </c>
      <c r="J9">
        <f t="shared" si="3"/>
        <v>21000</v>
      </c>
      <c r="L9" t="str">
        <f t="shared" si="4"/>
        <v>NE</v>
      </c>
      <c r="M9" t="str">
        <f t="shared" si="5"/>
        <v>ANO</v>
      </c>
      <c r="N9">
        <f t="shared" si="6"/>
        <v>15120</v>
      </c>
      <c r="O9">
        <f t="shared" si="7"/>
        <v>18480</v>
      </c>
      <c r="P9">
        <f t="shared" si="8"/>
        <v>18900</v>
      </c>
      <c r="Q9">
        <f t="shared" si="9"/>
        <v>23100.000000000004</v>
      </c>
    </row>
    <row r="10" spans="1:17" x14ac:dyDescent="0.25">
      <c r="A10" t="s">
        <v>20</v>
      </c>
      <c r="F10" t="e">
        <f t="shared" si="0"/>
        <v>#VALUE!</v>
      </c>
      <c r="G10" t="e">
        <f t="shared" si="1"/>
        <v>#VALUE!</v>
      </c>
      <c r="H10" t="e">
        <f>B10/(J10/100)</f>
        <v>#VALUE!</v>
      </c>
      <c r="I10" t="e">
        <f t="shared" si="2"/>
        <v>#VALUE!</v>
      </c>
      <c r="J10" t="e">
        <f t="shared" si="3"/>
        <v>#VALUE!</v>
      </c>
      <c r="L10" t="e">
        <f t="shared" si="4"/>
        <v>#VALUE!</v>
      </c>
      <c r="M10" t="e">
        <f t="shared" si="5"/>
        <v>#VALUE!</v>
      </c>
      <c r="N10" t="e">
        <f t="shared" si="6"/>
        <v>#VALUE!</v>
      </c>
      <c r="O10" t="e">
        <f t="shared" si="7"/>
        <v>#VALUE!</v>
      </c>
      <c r="P10" t="e">
        <f t="shared" si="8"/>
        <v>#VALUE!</v>
      </c>
      <c r="Q10" t="e">
        <f t="shared" si="9"/>
        <v>#VALUE!</v>
      </c>
    </row>
    <row r="11" spans="1:17" x14ac:dyDescent="0.25">
      <c r="A11">
        <v>12</v>
      </c>
      <c r="B11">
        <v>752400</v>
      </c>
      <c r="C11">
        <v>50</v>
      </c>
      <c r="D11">
        <v>25000</v>
      </c>
      <c r="E11">
        <v>20</v>
      </c>
      <c r="F11">
        <f t="shared" si="0"/>
        <v>-25.4</v>
      </c>
      <c r="G11">
        <f t="shared" si="1"/>
        <v>7.3</v>
      </c>
      <c r="H11">
        <f>B11/(J11/100)</f>
        <v>100.32</v>
      </c>
      <c r="I11">
        <f t="shared" si="2"/>
        <v>480000</v>
      </c>
      <c r="J11">
        <f t="shared" si="3"/>
        <v>750000</v>
      </c>
      <c r="L11" t="str">
        <f t="shared" si="4"/>
        <v>NE</v>
      </c>
      <c r="M11" t="str">
        <f t="shared" si="5"/>
        <v>ANO</v>
      </c>
      <c r="N11">
        <f t="shared" si="6"/>
        <v>432000</v>
      </c>
      <c r="O11">
        <f t="shared" si="7"/>
        <v>528000</v>
      </c>
      <c r="P11">
        <f t="shared" si="8"/>
        <v>675000</v>
      </c>
      <c r="Q11">
        <f t="shared" si="9"/>
        <v>825000.00000000012</v>
      </c>
    </row>
    <row r="12" spans="1:17" x14ac:dyDescent="0.25">
      <c r="A12">
        <v>83</v>
      </c>
      <c r="B12">
        <v>5180</v>
      </c>
      <c r="C12">
        <v>1</v>
      </c>
      <c r="D12">
        <v>100</v>
      </c>
      <c r="E12">
        <v>20</v>
      </c>
      <c r="F12">
        <f t="shared" si="0"/>
        <v>19.795180722891565</v>
      </c>
      <c r="G12">
        <f t="shared" si="1"/>
        <v>5.3975903614457827</v>
      </c>
      <c r="H12">
        <f>B12/(J12/100)</f>
        <v>1248.1927710843365</v>
      </c>
      <c r="I12">
        <f t="shared" si="2"/>
        <v>5146</v>
      </c>
      <c r="J12">
        <f t="shared" si="3"/>
        <v>415.00000000000034</v>
      </c>
      <c r="L12" t="str">
        <f t="shared" si="4"/>
        <v>ANO</v>
      </c>
      <c r="M12" t="str">
        <f t="shared" si="5"/>
        <v>NE</v>
      </c>
      <c r="N12">
        <f t="shared" si="6"/>
        <v>4631.4000000000005</v>
      </c>
      <c r="O12">
        <f t="shared" si="7"/>
        <v>5660.6</v>
      </c>
      <c r="P12">
        <f t="shared" si="8"/>
        <v>373.50000000000034</v>
      </c>
      <c r="Q12">
        <f t="shared" si="9"/>
        <v>456.5000000000004</v>
      </c>
    </row>
    <row r="13" spans="1:17" x14ac:dyDescent="0.25">
      <c r="F13" t="e">
        <f t="shared" si="0"/>
        <v>#DIV/0!</v>
      </c>
      <c r="G13" t="e">
        <f t="shared" si="1"/>
        <v>#DIV/0!</v>
      </c>
      <c r="I13">
        <f t="shared" si="2"/>
        <v>0</v>
      </c>
      <c r="J13">
        <f t="shared" si="3"/>
        <v>0</v>
      </c>
      <c r="L13" t="str">
        <f t="shared" si="4"/>
        <v>ANO</v>
      </c>
      <c r="M13" t="str">
        <f t="shared" si="5"/>
        <v>ANO</v>
      </c>
      <c r="N13">
        <f t="shared" si="6"/>
        <v>0</v>
      </c>
      <c r="O13">
        <f t="shared" si="7"/>
        <v>0</v>
      </c>
      <c r="P13">
        <f t="shared" si="8"/>
        <v>0</v>
      </c>
      <c r="Q13">
        <f t="shared" si="9"/>
        <v>0</v>
      </c>
    </row>
    <row r="14" spans="1:17" x14ac:dyDescent="0.25">
      <c r="F14" t="e">
        <f t="shared" ref="F14" si="12">(50*B14-50*A14*D14-C14*A14*D14)/(-1*A14*D14)</f>
        <v>#DIV/0!</v>
      </c>
      <c r="G14" t="e">
        <f t="shared" si="1"/>
        <v>#DIV/0!</v>
      </c>
      <c r="I14">
        <f t="shared" ref="I14" si="13">A14*D14*(1+(C14-E14)/50)</f>
        <v>0</v>
      </c>
      <c r="J14">
        <f t="shared" ref="J14" si="14">A14*D14*(1+(C14-E14)/20)</f>
        <v>0</v>
      </c>
      <c r="L14" t="str">
        <f t="shared" ref="L14" si="15">IF((N14&lt;=B14),IF(O14&gt;=B14,"ANO","NE"),"NE")</f>
        <v>ANO</v>
      </c>
      <c r="M14" t="str">
        <f t="shared" ref="M14" si="16">IF((P14&lt;=B14),IF(Q14&gt;=B14,"ANO","NE"),"NE")</f>
        <v>ANO</v>
      </c>
      <c r="N14">
        <f t="shared" ref="N14" si="17">I14*0.9</f>
        <v>0</v>
      </c>
      <c r="O14">
        <f t="shared" ref="O14" si="18">I14*1.1</f>
        <v>0</v>
      </c>
      <c r="P14">
        <f t="shared" ref="P14" si="19">J14*0.9</f>
        <v>0</v>
      </c>
      <c r="Q14">
        <f t="shared" ref="Q14" si="20">J14*1.1</f>
        <v>0</v>
      </c>
    </row>
    <row r="15" spans="1:17" x14ac:dyDescent="0.25">
      <c r="A15">
        <v>80807</v>
      </c>
      <c r="B15">
        <v>1909793</v>
      </c>
      <c r="C15">
        <v>17</v>
      </c>
      <c r="D15">
        <v>15</v>
      </c>
      <c r="E15">
        <v>5</v>
      </c>
      <c r="F15">
        <f t="shared" si="0"/>
        <v>-11.780014932699725</v>
      </c>
      <c r="G15">
        <f t="shared" si="1"/>
        <v>-2.3900074663498625</v>
      </c>
      <c r="I15">
        <f t="shared" si="2"/>
        <v>1503010.2</v>
      </c>
      <c r="J15">
        <f t="shared" si="3"/>
        <v>1939368</v>
      </c>
      <c r="L15" t="str">
        <f t="shared" si="4"/>
        <v>NE</v>
      </c>
      <c r="M15" t="str">
        <f t="shared" si="5"/>
        <v>ANO</v>
      </c>
      <c r="N15">
        <f t="shared" si="6"/>
        <v>1352709.18</v>
      </c>
      <c r="O15">
        <f t="shared" si="7"/>
        <v>1653311.22</v>
      </c>
      <c r="P15">
        <f t="shared" si="8"/>
        <v>1745431.2</v>
      </c>
      <c r="Q15">
        <f t="shared" si="9"/>
        <v>2133304.8000000003</v>
      </c>
    </row>
    <row r="16" spans="1:17" x14ac:dyDescent="0.25">
      <c r="A16">
        <v>2</v>
      </c>
      <c r="B16">
        <v>30000</v>
      </c>
      <c r="C16">
        <v>13</v>
      </c>
      <c r="D16">
        <v>15000</v>
      </c>
      <c r="E16">
        <v>20</v>
      </c>
      <c r="F16">
        <f t="shared" ref="F16:F17" si="21">(50*B16-50*A16*D16-C16*A16*D16)/(-1*A16*D16)</f>
        <v>13</v>
      </c>
      <c r="G16">
        <f t="shared" si="1"/>
        <v>8</v>
      </c>
      <c r="I16">
        <f t="shared" ref="I16:I17" si="22">A16*D16*(1+(C16-E16)/50)</f>
        <v>25800</v>
      </c>
      <c r="J16">
        <f t="shared" ref="J16:J17" si="23">A16*D16*(1+(C16-E16)/20)</f>
        <v>19500</v>
      </c>
      <c r="L16" t="str">
        <f t="shared" ref="L16:L17" si="24">IF((N16&lt;=B16),IF(O16&gt;=B16,"ANO","NE"),"NE")</f>
        <v>NE</v>
      </c>
      <c r="M16" t="str">
        <f t="shared" ref="M16:M17" si="25">IF((P16&lt;=B16),IF(Q16&gt;=B16,"ANO","NE"),"NE")</f>
        <v>NE</v>
      </c>
      <c r="N16">
        <f t="shared" ref="N16:N17" si="26">I16*0.9</f>
        <v>23220</v>
      </c>
      <c r="O16">
        <f t="shared" ref="O16:O17" si="27">I16*1.1</f>
        <v>28380.000000000004</v>
      </c>
      <c r="P16">
        <f t="shared" ref="P16:P17" si="28">J16*0.9</f>
        <v>17550</v>
      </c>
      <c r="Q16">
        <f t="shared" ref="Q16:Q17" si="29">J16*1.1</f>
        <v>21450</v>
      </c>
    </row>
    <row r="17" spans="1:17" x14ac:dyDescent="0.25">
      <c r="A17">
        <v>2</v>
      </c>
      <c r="B17">
        <v>44064</v>
      </c>
      <c r="C17">
        <v>13</v>
      </c>
      <c r="D17">
        <v>15000</v>
      </c>
      <c r="E17">
        <v>3</v>
      </c>
      <c r="F17">
        <f t="shared" si="21"/>
        <v>-10.44</v>
      </c>
      <c r="G17">
        <f t="shared" si="1"/>
        <v>-3.72</v>
      </c>
      <c r="I17">
        <f t="shared" si="22"/>
        <v>36000</v>
      </c>
      <c r="J17">
        <f t="shared" si="23"/>
        <v>45000</v>
      </c>
      <c r="L17" t="str">
        <f t="shared" si="24"/>
        <v>NE</v>
      </c>
      <c r="M17" t="str">
        <f t="shared" si="25"/>
        <v>ANO</v>
      </c>
      <c r="N17">
        <f t="shared" si="26"/>
        <v>32400</v>
      </c>
      <c r="O17">
        <f t="shared" si="27"/>
        <v>39600</v>
      </c>
      <c r="P17">
        <f t="shared" si="28"/>
        <v>40500</v>
      </c>
      <c r="Q17">
        <f t="shared" si="29"/>
        <v>49500.000000000007</v>
      </c>
    </row>
    <row r="18" spans="1:17" x14ac:dyDescent="0.25">
      <c r="A18">
        <v>2</v>
      </c>
      <c r="B18">
        <v>39576</v>
      </c>
      <c r="C18">
        <v>13</v>
      </c>
      <c r="D18">
        <v>15000</v>
      </c>
      <c r="E18">
        <v>5</v>
      </c>
      <c r="F18">
        <f t="shared" ref="F18" si="30">(50*B18-50*A18*D18-C18*A18*D18)/(-1*A18*D18)</f>
        <v>-2.96</v>
      </c>
      <c r="G18">
        <f t="shared" si="1"/>
        <v>0.02</v>
      </c>
      <c r="I18">
        <f t="shared" ref="I18" si="31">A18*D18*(1+(C18-E18)/50)</f>
        <v>34800</v>
      </c>
      <c r="J18">
        <f t="shared" ref="J18" si="32">A18*D18*(1+(C18-E18)/20)</f>
        <v>42000</v>
      </c>
      <c r="L18" t="str">
        <f t="shared" ref="L18" si="33">IF((N18&lt;=B18),IF(O18&gt;=B18,"ANO","NE"),"NE")</f>
        <v>NE</v>
      </c>
      <c r="M18" t="str">
        <f t="shared" ref="M18" si="34">IF((P18&lt;=B18),IF(Q18&gt;=B18,"ANO","NE"),"NE")</f>
        <v>ANO</v>
      </c>
      <c r="N18">
        <f t="shared" ref="N18" si="35">I18*0.9</f>
        <v>31320</v>
      </c>
      <c r="O18">
        <f t="shared" ref="O18" si="36">I18*1.1</f>
        <v>38280</v>
      </c>
      <c r="P18">
        <f t="shared" ref="P18" si="37">J18*0.9</f>
        <v>37800</v>
      </c>
      <c r="Q18">
        <f t="shared" ref="Q18" si="38">J18*1.1</f>
        <v>46200.000000000007</v>
      </c>
    </row>
    <row r="21" spans="1:17" x14ac:dyDescent="0.25">
      <c r="A21" t="s">
        <v>12</v>
      </c>
    </row>
    <row r="22" spans="1:17" x14ac:dyDescent="0.25">
      <c r="A22" t="s">
        <v>13</v>
      </c>
      <c r="B22" t="s">
        <v>14</v>
      </c>
      <c r="D22" t="s">
        <v>19</v>
      </c>
      <c r="E22" t="s">
        <v>15</v>
      </c>
      <c r="F22" t="s">
        <v>16</v>
      </c>
      <c r="G22" t="s">
        <v>17</v>
      </c>
    </row>
    <row r="23" spans="1:17" x14ac:dyDescent="0.25">
      <c r="A23" t="s">
        <v>18</v>
      </c>
      <c r="E23">
        <v>38</v>
      </c>
    </row>
    <row r="26" spans="1:17" x14ac:dyDescent="0.25">
      <c r="C26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selection activeCell="G2" sqref="G2:G19"/>
    </sheetView>
  </sheetViews>
  <sheetFormatPr defaultRowHeight="15" x14ac:dyDescent="0.25"/>
  <cols>
    <col min="1" max="1" width="14.5703125" bestFit="1" customWidth="1"/>
    <col min="2" max="2" width="10.5703125" customWidth="1"/>
    <col min="3" max="3" width="12.7109375" customWidth="1"/>
    <col min="4" max="4" width="12.5703125" customWidth="1"/>
    <col min="5" max="5" width="21.140625" bestFit="1" customWidth="1"/>
    <col min="6" max="7" width="16.28515625" bestFit="1" customWidth="1"/>
    <col min="9" max="9" width="11.28515625" customWidth="1"/>
    <col min="12" max="12" width="13.140625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1</v>
      </c>
      <c r="E1" t="s">
        <v>11</v>
      </c>
      <c r="F1" t="s">
        <v>4</v>
      </c>
      <c r="G1" t="s">
        <v>5</v>
      </c>
      <c r="I1" t="s">
        <v>7</v>
      </c>
      <c r="J1" t="s">
        <v>6</v>
      </c>
    </row>
    <row r="2" spans="1:17" x14ac:dyDescent="0.25">
      <c r="F2" t="e">
        <f>(50*B2-50*A2*D2-C2*A2*D2)/(-1*A2*D2)</f>
        <v>#DIV/0!</v>
      </c>
      <c r="G2" t="e">
        <f>(25*B2-20*A2*D2-C2*A2*D2)/(-1*A2*D2)</f>
        <v>#DIV/0!</v>
      </c>
      <c r="I2">
        <f>A2*D2*(1+(C2-E2)/50)</f>
        <v>0</v>
      </c>
      <c r="J2">
        <f>A2*D2*(1+(C2-E2)/20)</f>
        <v>0</v>
      </c>
      <c r="L2" t="str">
        <f>IF((N2&lt;=B2),IF(O2&gt;=B2,"ANO","NE"),"NE")</f>
        <v>ANO</v>
      </c>
      <c r="M2" t="str">
        <f>IF((P2&lt;=B2),IF(Q2&gt;=B2,"ANO","NE"),"NE")</f>
        <v>ANO</v>
      </c>
      <c r="N2">
        <f>I2*0.9</f>
        <v>0</v>
      </c>
      <c r="O2">
        <f>I2*1.1</f>
        <v>0</v>
      </c>
      <c r="P2">
        <f>J2*0.9</f>
        <v>0</v>
      </c>
      <c r="Q2">
        <f>J2*1.1</f>
        <v>0</v>
      </c>
    </row>
    <row r="3" spans="1:17" x14ac:dyDescent="0.25">
      <c r="F3" t="e">
        <f t="shared" ref="F3:F19" si="0">(50*B3-50*A3*D3-C3*A3*D3)/(-1*A3*D3)</f>
        <v>#DIV/0!</v>
      </c>
      <c r="G3" t="e">
        <f t="shared" ref="G3:G19" si="1">(25*B3-20*A3*D3-C3*A3*D3)/(-1*A3*D3)</f>
        <v>#DIV/0!</v>
      </c>
      <c r="I3">
        <f t="shared" ref="I3:I19" si="2">A3*D3*(1+(C3-E3)/50)</f>
        <v>0</v>
      </c>
      <c r="J3">
        <f t="shared" ref="J3:J19" si="3">A3*D3*(1+(C3-E3)/20)</f>
        <v>0</v>
      </c>
      <c r="L3" t="str">
        <f t="shared" ref="L3:L19" si="4">IF((N3&lt;=B3),IF(O3&gt;=B3,"ANO","NE"),"NE")</f>
        <v>ANO</v>
      </c>
      <c r="M3" t="str">
        <f t="shared" ref="M3:M19" si="5">IF((P3&lt;=B3),IF(Q3&gt;=B3,"ANO","NE"),"NE")</f>
        <v>ANO</v>
      </c>
      <c r="N3">
        <f t="shared" ref="N3:N19" si="6">I3*0.9</f>
        <v>0</v>
      </c>
      <c r="O3">
        <f t="shared" ref="O3:O19" si="7">I3*1.1</f>
        <v>0</v>
      </c>
      <c r="P3">
        <f t="shared" ref="P3:P19" si="8">J3*0.9</f>
        <v>0</v>
      </c>
      <c r="Q3">
        <f t="shared" ref="Q3:Q19" si="9">J3*1.1</f>
        <v>0</v>
      </c>
    </row>
    <row r="4" spans="1:17" x14ac:dyDescent="0.25">
      <c r="F4" t="e">
        <f t="shared" si="0"/>
        <v>#DIV/0!</v>
      </c>
      <c r="G4" t="e">
        <f t="shared" si="1"/>
        <v>#DIV/0!</v>
      </c>
      <c r="I4">
        <f t="shared" si="2"/>
        <v>0</v>
      </c>
      <c r="J4">
        <f t="shared" si="3"/>
        <v>0</v>
      </c>
      <c r="L4" t="str">
        <f t="shared" si="4"/>
        <v>ANO</v>
      </c>
      <c r="M4" t="str">
        <f t="shared" si="5"/>
        <v>ANO</v>
      </c>
      <c r="N4">
        <f t="shared" si="6"/>
        <v>0</v>
      </c>
      <c r="O4">
        <f t="shared" si="7"/>
        <v>0</v>
      </c>
      <c r="P4">
        <f t="shared" si="8"/>
        <v>0</v>
      </c>
      <c r="Q4">
        <f t="shared" si="9"/>
        <v>0</v>
      </c>
    </row>
    <row r="5" spans="1:17" x14ac:dyDescent="0.25">
      <c r="F5" t="e">
        <f t="shared" si="0"/>
        <v>#DIV/0!</v>
      </c>
      <c r="G5" t="e">
        <f t="shared" si="1"/>
        <v>#DIV/0!</v>
      </c>
      <c r="I5">
        <f t="shared" si="2"/>
        <v>0</v>
      </c>
      <c r="J5">
        <f t="shared" si="3"/>
        <v>0</v>
      </c>
      <c r="L5" t="str">
        <f t="shared" si="4"/>
        <v>ANO</v>
      </c>
      <c r="M5" t="str">
        <f t="shared" si="5"/>
        <v>ANO</v>
      </c>
      <c r="N5">
        <f t="shared" si="6"/>
        <v>0</v>
      </c>
      <c r="O5">
        <f t="shared" si="7"/>
        <v>0</v>
      </c>
      <c r="P5">
        <f t="shared" si="8"/>
        <v>0</v>
      </c>
      <c r="Q5">
        <f t="shared" si="9"/>
        <v>0</v>
      </c>
    </row>
    <row r="6" spans="1:17" x14ac:dyDescent="0.25">
      <c r="A6">
        <v>543</v>
      </c>
      <c r="B6">
        <v>1695</v>
      </c>
      <c r="C6">
        <v>4</v>
      </c>
      <c r="D6">
        <v>4</v>
      </c>
      <c r="E6">
        <v>14</v>
      </c>
      <c r="F6">
        <f t="shared" si="0"/>
        <v>14.980662983425415</v>
      </c>
      <c r="G6">
        <f t="shared" si="1"/>
        <v>4.4903314917127073</v>
      </c>
      <c r="I6">
        <f t="shared" si="2"/>
        <v>1737.6000000000001</v>
      </c>
      <c r="J6">
        <f t="shared" si="3"/>
        <v>1086</v>
      </c>
      <c r="L6" t="str">
        <f t="shared" si="4"/>
        <v>ANO</v>
      </c>
      <c r="M6" t="str">
        <f t="shared" si="5"/>
        <v>NE</v>
      </c>
      <c r="N6">
        <f t="shared" si="6"/>
        <v>1563.8400000000001</v>
      </c>
      <c r="O6">
        <f t="shared" si="7"/>
        <v>1911.3600000000004</v>
      </c>
      <c r="P6">
        <f t="shared" si="8"/>
        <v>977.4</v>
      </c>
      <c r="Q6">
        <f t="shared" si="9"/>
        <v>1194.6000000000001</v>
      </c>
    </row>
    <row r="7" spans="1:17" hidden="1" x14ac:dyDescent="0.25">
      <c r="C7">
        <v>4</v>
      </c>
      <c r="D7">
        <v>4</v>
      </c>
      <c r="E7">
        <v>7</v>
      </c>
      <c r="F7" t="e">
        <f t="shared" si="0"/>
        <v>#DIV/0!</v>
      </c>
      <c r="G7" t="e">
        <f t="shared" si="1"/>
        <v>#DIV/0!</v>
      </c>
      <c r="I7">
        <f t="shared" si="2"/>
        <v>0</v>
      </c>
      <c r="J7">
        <f t="shared" si="3"/>
        <v>0</v>
      </c>
      <c r="L7" t="str">
        <f t="shared" si="4"/>
        <v>ANO</v>
      </c>
      <c r="M7" t="str">
        <f t="shared" si="5"/>
        <v>ANO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</row>
    <row r="8" spans="1:17" x14ac:dyDescent="0.25">
      <c r="A8">
        <v>543</v>
      </c>
      <c r="B8">
        <v>1779</v>
      </c>
      <c r="C8">
        <v>4</v>
      </c>
      <c r="D8">
        <v>4</v>
      </c>
      <c r="E8">
        <v>14</v>
      </c>
      <c r="F8">
        <f t="shared" si="0"/>
        <v>13.046961325966851</v>
      </c>
      <c r="G8">
        <f t="shared" si="1"/>
        <v>3.5234806629834252</v>
      </c>
      <c r="I8">
        <f t="shared" si="2"/>
        <v>1737.6000000000001</v>
      </c>
      <c r="J8">
        <f t="shared" si="3"/>
        <v>1086</v>
      </c>
      <c r="L8" t="str">
        <f t="shared" si="4"/>
        <v>ANO</v>
      </c>
      <c r="M8" t="str">
        <f t="shared" si="5"/>
        <v>NE</v>
      </c>
      <c r="N8">
        <f t="shared" si="6"/>
        <v>1563.8400000000001</v>
      </c>
      <c r="O8">
        <f t="shared" si="7"/>
        <v>1911.3600000000004</v>
      </c>
      <c r="P8">
        <f t="shared" si="8"/>
        <v>977.4</v>
      </c>
      <c r="Q8">
        <f t="shared" si="9"/>
        <v>1194.6000000000001</v>
      </c>
    </row>
    <row r="9" spans="1:17" x14ac:dyDescent="0.25">
      <c r="A9">
        <v>1</v>
      </c>
      <c r="B9">
        <v>5</v>
      </c>
      <c r="C9">
        <v>4</v>
      </c>
      <c r="D9">
        <v>4</v>
      </c>
      <c r="E9">
        <v>3</v>
      </c>
      <c r="F9">
        <f t="shared" si="0"/>
        <v>-8.5</v>
      </c>
      <c r="G9">
        <f t="shared" si="1"/>
        <v>-7.25</v>
      </c>
      <c r="I9">
        <f t="shared" si="2"/>
        <v>4.08</v>
      </c>
      <c r="J9">
        <f t="shared" si="3"/>
        <v>4.2</v>
      </c>
      <c r="L9" t="str">
        <f t="shared" si="4"/>
        <v>NE</v>
      </c>
      <c r="M9" t="str">
        <f t="shared" si="5"/>
        <v>NE</v>
      </c>
      <c r="N9">
        <f t="shared" si="6"/>
        <v>3.6720000000000002</v>
      </c>
      <c r="O9">
        <f t="shared" si="7"/>
        <v>4.4880000000000004</v>
      </c>
      <c r="P9">
        <f t="shared" si="8"/>
        <v>3.7800000000000002</v>
      </c>
      <c r="Q9">
        <f t="shared" si="9"/>
        <v>4.620000000000001</v>
      </c>
    </row>
    <row r="10" spans="1:17" x14ac:dyDescent="0.25">
      <c r="A10">
        <v>1</v>
      </c>
      <c r="B10">
        <v>4</v>
      </c>
      <c r="C10">
        <v>4</v>
      </c>
      <c r="D10">
        <v>4</v>
      </c>
      <c r="E10">
        <v>3</v>
      </c>
      <c r="F10">
        <f t="shared" si="0"/>
        <v>4</v>
      </c>
      <c r="G10">
        <f t="shared" si="1"/>
        <v>-1</v>
      </c>
      <c r="I10">
        <f t="shared" si="2"/>
        <v>4.08</v>
      </c>
      <c r="J10">
        <f t="shared" si="3"/>
        <v>4.2</v>
      </c>
      <c r="L10" t="str">
        <f t="shared" si="4"/>
        <v>ANO</v>
      </c>
      <c r="M10" t="str">
        <f t="shared" si="5"/>
        <v>ANO</v>
      </c>
      <c r="N10">
        <f t="shared" si="6"/>
        <v>3.6720000000000002</v>
      </c>
      <c r="O10">
        <f t="shared" si="7"/>
        <v>4.4880000000000004</v>
      </c>
      <c r="P10">
        <f t="shared" si="8"/>
        <v>3.7800000000000002</v>
      </c>
      <c r="Q10">
        <f t="shared" si="9"/>
        <v>4.620000000000001</v>
      </c>
    </row>
    <row r="11" spans="1:17" x14ac:dyDescent="0.25">
      <c r="A11">
        <v>606</v>
      </c>
      <c r="B11">
        <v>1616</v>
      </c>
      <c r="C11">
        <v>4</v>
      </c>
      <c r="D11">
        <v>4</v>
      </c>
      <c r="E11">
        <v>20</v>
      </c>
      <c r="F11">
        <f t="shared" si="0"/>
        <v>20.666666666666668</v>
      </c>
      <c r="G11">
        <f t="shared" si="1"/>
        <v>7.333333333333333</v>
      </c>
      <c r="I11">
        <f t="shared" si="2"/>
        <v>1648.32</v>
      </c>
      <c r="J11">
        <f t="shared" si="3"/>
        <v>484.7999999999999</v>
      </c>
      <c r="L11" t="str">
        <f t="shared" si="4"/>
        <v>ANO</v>
      </c>
      <c r="M11" t="str">
        <f t="shared" si="5"/>
        <v>NE</v>
      </c>
      <c r="N11">
        <f t="shared" si="6"/>
        <v>1483.4880000000001</v>
      </c>
      <c r="O11">
        <f t="shared" si="7"/>
        <v>1813.152</v>
      </c>
      <c r="P11">
        <f t="shared" si="8"/>
        <v>436.31999999999994</v>
      </c>
      <c r="Q11">
        <f t="shared" si="9"/>
        <v>533.28</v>
      </c>
    </row>
    <row r="12" spans="1:17" x14ac:dyDescent="0.25">
      <c r="F12" t="e">
        <f t="shared" si="0"/>
        <v>#DIV/0!</v>
      </c>
      <c r="G12" t="e">
        <f t="shared" si="1"/>
        <v>#DIV/0!</v>
      </c>
      <c r="I12">
        <f t="shared" si="2"/>
        <v>0</v>
      </c>
      <c r="J12">
        <f t="shared" si="3"/>
        <v>0</v>
      </c>
      <c r="L12" t="str">
        <f t="shared" si="4"/>
        <v>ANO</v>
      </c>
      <c r="M12" t="str">
        <f t="shared" si="5"/>
        <v>ANO</v>
      </c>
      <c r="N12">
        <f t="shared" si="6"/>
        <v>0</v>
      </c>
      <c r="O12">
        <f t="shared" si="7"/>
        <v>0</v>
      </c>
      <c r="P12">
        <f t="shared" si="8"/>
        <v>0</v>
      </c>
      <c r="Q12">
        <f t="shared" si="9"/>
        <v>0</v>
      </c>
    </row>
    <row r="13" spans="1:17" x14ac:dyDescent="0.25">
      <c r="F13" t="e">
        <f t="shared" si="0"/>
        <v>#DIV/0!</v>
      </c>
      <c r="G13" t="e">
        <f t="shared" si="1"/>
        <v>#DIV/0!</v>
      </c>
      <c r="I13">
        <f t="shared" si="2"/>
        <v>0</v>
      </c>
      <c r="J13">
        <f t="shared" si="3"/>
        <v>0</v>
      </c>
      <c r="L13" t="str">
        <f t="shared" si="4"/>
        <v>ANO</v>
      </c>
      <c r="M13" t="str">
        <f t="shared" si="5"/>
        <v>ANO</v>
      </c>
      <c r="N13">
        <f t="shared" si="6"/>
        <v>0</v>
      </c>
      <c r="O13">
        <f t="shared" si="7"/>
        <v>0</v>
      </c>
      <c r="P13">
        <f t="shared" si="8"/>
        <v>0</v>
      </c>
      <c r="Q13">
        <f t="shared" si="9"/>
        <v>0</v>
      </c>
    </row>
    <row r="14" spans="1:17" x14ac:dyDescent="0.25">
      <c r="F14" t="e">
        <f t="shared" si="0"/>
        <v>#DIV/0!</v>
      </c>
      <c r="G14" t="e">
        <f t="shared" si="1"/>
        <v>#DIV/0!</v>
      </c>
      <c r="I14">
        <f t="shared" si="2"/>
        <v>0</v>
      </c>
      <c r="J14">
        <f t="shared" si="3"/>
        <v>0</v>
      </c>
      <c r="L14" t="str">
        <f t="shared" si="4"/>
        <v>ANO</v>
      </c>
      <c r="M14" t="str">
        <f t="shared" si="5"/>
        <v>ANO</v>
      </c>
      <c r="N14">
        <f t="shared" si="6"/>
        <v>0</v>
      </c>
      <c r="O14">
        <f t="shared" si="7"/>
        <v>0</v>
      </c>
      <c r="P14">
        <f t="shared" si="8"/>
        <v>0</v>
      </c>
      <c r="Q14">
        <f t="shared" si="9"/>
        <v>0</v>
      </c>
    </row>
    <row r="15" spans="1:17" x14ac:dyDescent="0.25">
      <c r="F15" t="e">
        <f t="shared" si="0"/>
        <v>#DIV/0!</v>
      </c>
      <c r="G15" t="e">
        <f t="shared" si="1"/>
        <v>#DIV/0!</v>
      </c>
      <c r="I15">
        <f t="shared" si="2"/>
        <v>0</v>
      </c>
      <c r="J15">
        <f t="shared" si="3"/>
        <v>0</v>
      </c>
      <c r="L15" t="str">
        <f t="shared" si="4"/>
        <v>ANO</v>
      </c>
      <c r="M15" t="str">
        <f t="shared" si="5"/>
        <v>ANO</v>
      </c>
      <c r="N15">
        <f t="shared" si="6"/>
        <v>0</v>
      </c>
      <c r="O15">
        <f t="shared" si="7"/>
        <v>0</v>
      </c>
      <c r="P15">
        <f t="shared" si="8"/>
        <v>0</v>
      </c>
      <c r="Q15">
        <f t="shared" si="9"/>
        <v>0</v>
      </c>
    </row>
    <row r="16" spans="1:17" x14ac:dyDescent="0.25">
      <c r="F16" t="e">
        <f t="shared" si="0"/>
        <v>#DIV/0!</v>
      </c>
      <c r="G16" t="e">
        <f t="shared" si="1"/>
        <v>#DIV/0!</v>
      </c>
      <c r="I16">
        <f t="shared" si="2"/>
        <v>0</v>
      </c>
      <c r="J16">
        <f t="shared" si="3"/>
        <v>0</v>
      </c>
      <c r="L16" t="str">
        <f t="shared" si="4"/>
        <v>ANO</v>
      </c>
      <c r="M16" t="str">
        <f t="shared" si="5"/>
        <v>ANO</v>
      </c>
      <c r="N16">
        <f t="shared" si="6"/>
        <v>0</v>
      </c>
      <c r="O16">
        <f t="shared" si="7"/>
        <v>0</v>
      </c>
      <c r="P16">
        <f t="shared" si="8"/>
        <v>0</v>
      </c>
      <c r="Q16">
        <f t="shared" si="9"/>
        <v>0</v>
      </c>
    </row>
    <row r="17" spans="1:17" x14ac:dyDescent="0.25">
      <c r="F17" t="e">
        <f t="shared" si="0"/>
        <v>#DIV/0!</v>
      </c>
      <c r="G17" t="e">
        <f t="shared" si="1"/>
        <v>#DIV/0!</v>
      </c>
      <c r="I17">
        <f t="shared" si="2"/>
        <v>0</v>
      </c>
      <c r="J17">
        <f t="shared" si="3"/>
        <v>0</v>
      </c>
      <c r="L17" t="str">
        <f t="shared" si="4"/>
        <v>ANO</v>
      </c>
      <c r="M17" t="str">
        <f t="shared" si="5"/>
        <v>ANO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</row>
    <row r="18" spans="1:17" x14ac:dyDescent="0.25">
      <c r="F18" t="e">
        <f t="shared" si="0"/>
        <v>#DIV/0!</v>
      </c>
      <c r="G18" t="e">
        <f t="shared" si="1"/>
        <v>#DIV/0!</v>
      </c>
      <c r="I18">
        <f t="shared" si="2"/>
        <v>0</v>
      </c>
      <c r="J18">
        <f t="shared" si="3"/>
        <v>0</v>
      </c>
      <c r="L18" t="str">
        <f t="shared" si="4"/>
        <v>ANO</v>
      </c>
      <c r="M18" t="str">
        <f t="shared" si="5"/>
        <v>ANO</v>
      </c>
      <c r="N18">
        <f t="shared" si="6"/>
        <v>0</v>
      </c>
      <c r="O18">
        <f t="shared" si="7"/>
        <v>0</v>
      </c>
      <c r="P18">
        <f t="shared" si="8"/>
        <v>0</v>
      </c>
      <c r="Q18">
        <f t="shared" si="9"/>
        <v>0</v>
      </c>
    </row>
    <row r="19" spans="1:17" x14ac:dyDescent="0.25">
      <c r="F19" t="e">
        <f t="shared" si="0"/>
        <v>#DIV/0!</v>
      </c>
      <c r="G19" t="e">
        <f t="shared" si="1"/>
        <v>#DIV/0!</v>
      </c>
      <c r="I19">
        <f t="shared" si="2"/>
        <v>0</v>
      </c>
      <c r="J19">
        <f t="shared" si="3"/>
        <v>0</v>
      </c>
      <c r="L19" t="str">
        <f t="shared" si="4"/>
        <v>ANO</v>
      </c>
      <c r="M19" t="str">
        <f t="shared" si="5"/>
        <v>ANO</v>
      </c>
      <c r="N19">
        <f t="shared" si="6"/>
        <v>0</v>
      </c>
      <c r="O19">
        <f t="shared" si="7"/>
        <v>0</v>
      </c>
      <c r="P19">
        <f t="shared" si="8"/>
        <v>0</v>
      </c>
      <c r="Q19">
        <f t="shared" si="9"/>
        <v>0</v>
      </c>
    </row>
    <row r="21" spans="1:17" x14ac:dyDescent="0.25">
      <c r="A21" t="s">
        <v>10</v>
      </c>
    </row>
    <row r="27" spans="1:17" x14ac:dyDescent="0.25">
      <c r="C2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G2" sqref="G2"/>
    </sheetView>
  </sheetViews>
  <sheetFormatPr defaultRowHeight="15" x14ac:dyDescent="0.25"/>
  <cols>
    <col min="6" max="6" width="16.140625" customWidth="1"/>
    <col min="7" max="7" width="17" customWidth="1"/>
    <col min="8" max="8" width="16.85546875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1</v>
      </c>
      <c r="E1" t="s">
        <v>8</v>
      </c>
      <c r="F1" t="s">
        <v>4</v>
      </c>
      <c r="G1" t="s">
        <v>5</v>
      </c>
      <c r="I1" t="s">
        <v>7</v>
      </c>
      <c r="J1" t="s">
        <v>6</v>
      </c>
    </row>
    <row r="2" spans="1:17" x14ac:dyDescent="0.25">
      <c r="A2">
        <v>8</v>
      </c>
      <c r="B2">
        <v>2748</v>
      </c>
      <c r="C2">
        <v>22</v>
      </c>
      <c r="D2">
        <v>500</v>
      </c>
      <c r="E2">
        <v>38</v>
      </c>
      <c r="F2">
        <f>(50*B2-50*A2*D2-C2*A2*D2)/(-1*A2*D2)</f>
        <v>37.65</v>
      </c>
      <c r="G2">
        <f>(25*B2-20*A2*D2-C2*A2*D2)/(-1*A2*D2)</f>
        <v>24.824999999999999</v>
      </c>
      <c r="H2">
        <f>B2/(I2/100)</f>
        <v>101.0294117647059</v>
      </c>
      <c r="I2">
        <f>A2*D2*(1+(C2-E2)/50)</f>
        <v>2719.9999999999995</v>
      </c>
      <c r="J2">
        <f>A2*D2*(1+(C2-E2)/20)</f>
        <v>799.99999999999977</v>
      </c>
      <c r="L2" t="str">
        <f>IF((N2&lt;=B2),IF(O2&gt;=B2,"ANO","NE"),"NE")</f>
        <v>ANO</v>
      </c>
      <c r="M2" t="str">
        <f>IF((P2&lt;=B2),IF(Q2&gt;=B2,"ANO","NE"),"NE")</f>
        <v>NE</v>
      </c>
      <c r="N2">
        <f>I2*0.9</f>
        <v>2447.9999999999995</v>
      </c>
      <c r="O2">
        <f>I2*1.1</f>
        <v>2991.9999999999995</v>
      </c>
      <c r="P2">
        <f>J2*0.9</f>
        <v>719.99999999999977</v>
      </c>
      <c r="Q2">
        <f>J2*1.1</f>
        <v>879.99999999999977</v>
      </c>
    </row>
    <row r="3" spans="1:17" x14ac:dyDescent="0.25">
      <c r="A3">
        <v>1</v>
      </c>
      <c r="B3">
        <v>193</v>
      </c>
      <c r="C3">
        <v>15</v>
      </c>
      <c r="D3">
        <v>350</v>
      </c>
      <c r="E3">
        <v>38</v>
      </c>
      <c r="F3">
        <f t="shared" ref="F3:F18" si="0">(50*B3-50*A3*D3-C3*A3*D3)/(-1*A3*D3)</f>
        <v>37.428571428571431</v>
      </c>
      <c r="G3">
        <f t="shared" ref="G3:G18" si="1">(25*B3-20*A3*D3-C3*A3*D3)/(-1*A3*D3)</f>
        <v>21.214285714285715</v>
      </c>
      <c r="H3">
        <f>B3/(I3/100)</f>
        <v>102.11640211640213</v>
      </c>
      <c r="I3">
        <f t="shared" ref="I3:I18" si="2">A3*D3*(1+(C3-E3)/50)</f>
        <v>189</v>
      </c>
      <c r="J3">
        <f t="shared" ref="J3:J18" si="3">A3*D3*(1+(C3-E3)/20)</f>
        <v>-52.499999999999972</v>
      </c>
      <c r="L3" t="str">
        <f t="shared" ref="L3:L18" si="4">IF((N3&lt;=B3),IF(O3&gt;=B3,"ANO","NE"),"NE")</f>
        <v>ANO</v>
      </c>
      <c r="M3" t="str">
        <f t="shared" ref="M3:M18" si="5">IF((P3&lt;=B3),IF(Q3&gt;=B3,"ANO","NE"),"NE")</f>
        <v>NE</v>
      </c>
      <c r="N3">
        <f t="shared" ref="N3:N18" si="6">I3*0.9</f>
        <v>170.1</v>
      </c>
      <c r="O3">
        <f t="shared" ref="O3:O18" si="7">I3*1.1</f>
        <v>207.9</v>
      </c>
      <c r="P3">
        <f t="shared" ref="P3:P18" si="8">J3*0.9</f>
        <v>-47.249999999999979</v>
      </c>
      <c r="Q3">
        <f t="shared" ref="Q3:Q18" si="9">J3*1.1</f>
        <v>-57.749999999999972</v>
      </c>
    </row>
    <row r="4" spans="1:17" x14ac:dyDescent="0.25">
      <c r="A4">
        <v>8</v>
      </c>
      <c r="B4">
        <v>2720</v>
      </c>
      <c r="C4">
        <v>22</v>
      </c>
      <c r="D4">
        <v>500</v>
      </c>
      <c r="E4">
        <v>38</v>
      </c>
      <c r="F4">
        <f t="shared" si="0"/>
        <v>38</v>
      </c>
      <c r="G4">
        <f t="shared" si="1"/>
        <v>25</v>
      </c>
      <c r="H4">
        <f t="shared" ref="H4:H6" si="10">B4/(I4/100)</f>
        <v>100.00000000000001</v>
      </c>
      <c r="I4">
        <f t="shared" si="2"/>
        <v>2719.9999999999995</v>
      </c>
      <c r="J4">
        <f t="shared" si="3"/>
        <v>799.99999999999977</v>
      </c>
      <c r="L4" t="str">
        <f t="shared" si="4"/>
        <v>ANO</v>
      </c>
      <c r="M4" t="str">
        <f t="shared" si="5"/>
        <v>NE</v>
      </c>
      <c r="N4">
        <f t="shared" si="6"/>
        <v>2447.9999999999995</v>
      </c>
      <c r="O4">
        <f t="shared" si="7"/>
        <v>2991.9999999999995</v>
      </c>
      <c r="P4">
        <f t="shared" si="8"/>
        <v>719.99999999999977</v>
      </c>
      <c r="Q4">
        <f t="shared" si="9"/>
        <v>879.99999999999977</v>
      </c>
    </row>
    <row r="5" spans="1:17" x14ac:dyDescent="0.25">
      <c r="A5">
        <v>1</v>
      </c>
      <c r="B5">
        <v>186</v>
      </c>
      <c r="C5">
        <v>15</v>
      </c>
      <c r="D5">
        <v>350</v>
      </c>
      <c r="E5">
        <v>38</v>
      </c>
      <c r="F5">
        <f t="shared" si="0"/>
        <v>38.428571428571431</v>
      </c>
      <c r="G5">
        <f t="shared" si="1"/>
        <v>21.714285714285715</v>
      </c>
      <c r="H5">
        <f t="shared" si="10"/>
        <v>98.412698412698418</v>
      </c>
      <c r="I5">
        <f t="shared" si="2"/>
        <v>189</v>
      </c>
      <c r="J5">
        <f t="shared" si="3"/>
        <v>-52.499999999999972</v>
      </c>
      <c r="L5" t="str">
        <f t="shared" si="4"/>
        <v>ANO</v>
      </c>
      <c r="M5" t="str">
        <f t="shared" si="5"/>
        <v>NE</v>
      </c>
      <c r="N5">
        <f t="shared" si="6"/>
        <v>170.1</v>
      </c>
      <c r="O5">
        <f t="shared" si="7"/>
        <v>207.9</v>
      </c>
      <c r="P5">
        <f t="shared" si="8"/>
        <v>-47.249999999999979</v>
      </c>
      <c r="Q5">
        <f t="shared" si="9"/>
        <v>-57.749999999999972</v>
      </c>
    </row>
    <row r="6" spans="1:17" x14ac:dyDescent="0.25">
      <c r="A6">
        <v>676</v>
      </c>
      <c r="B6">
        <v>3691</v>
      </c>
      <c r="C6">
        <v>14</v>
      </c>
      <c r="D6">
        <v>10</v>
      </c>
      <c r="E6">
        <v>38</v>
      </c>
      <c r="F6">
        <f t="shared" si="0"/>
        <v>36.699704142011832</v>
      </c>
      <c r="G6">
        <f t="shared" si="1"/>
        <v>20.349852071005916</v>
      </c>
      <c r="H6">
        <f t="shared" si="10"/>
        <v>105.0011379153391</v>
      </c>
      <c r="I6">
        <f t="shared" si="2"/>
        <v>3515.2000000000003</v>
      </c>
      <c r="J6">
        <f t="shared" si="3"/>
        <v>-1351.9999999999998</v>
      </c>
      <c r="L6" t="str">
        <f t="shared" si="4"/>
        <v>ANO</v>
      </c>
      <c r="M6" t="str">
        <f t="shared" si="5"/>
        <v>NE</v>
      </c>
      <c r="N6">
        <f t="shared" si="6"/>
        <v>3163.6800000000003</v>
      </c>
      <c r="O6">
        <f t="shared" si="7"/>
        <v>3866.7200000000007</v>
      </c>
      <c r="P6">
        <f t="shared" si="8"/>
        <v>-1216.7999999999997</v>
      </c>
      <c r="Q6">
        <f t="shared" si="9"/>
        <v>-1487.1999999999998</v>
      </c>
    </row>
    <row r="7" spans="1:17" x14ac:dyDescent="0.25">
      <c r="E7">
        <v>3</v>
      </c>
      <c r="F7" t="e">
        <f t="shared" si="0"/>
        <v>#DIV/0!</v>
      </c>
      <c r="G7" t="e">
        <f t="shared" si="1"/>
        <v>#DIV/0!</v>
      </c>
      <c r="H7" t="e">
        <f t="shared" ref="H7" si="11">B7/(J7/100)</f>
        <v>#DIV/0!</v>
      </c>
      <c r="I7">
        <f t="shared" si="2"/>
        <v>0</v>
      </c>
      <c r="J7">
        <f t="shared" si="3"/>
        <v>0</v>
      </c>
      <c r="L7" t="str">
        <f t="shared" si="4"/>
        <v>ANO</v>
      </c>
      <c r="M7" t="str">
        <f t="shared" si="5"/>
        <v>ANO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</row>
    <row r="8" spans="1:17" x14ac:dyDescent="0.25">
      <c r="A8">
        <v>4</v>
      </c>
      <c r="B8">
        <v>137671</v>
      </c>
      <c r="C8">
        <v>30</v>
      </c>
      <c r="D8">
        <v>14000</v>
      </c>
      <c r="E8">
        <v>0</v>
      </c>
      <c r="F8">
        <f t="shared" si="0"/>
        <v>-42.920535714285712</v>
      </c>
      <c r="G8">
        <f t="shared" si="1"/>
        <v>-11.460267857142858</v>
      </c>
      <c r="H8">
        <f>B8/(J8/100)</f>
        <v>98.33642857142857</v>
      </c>
      <c r="I8">
        <f t="shared" si="2"/>
        <v>89600</v>
      </c>
      <c r="J8">
        <f t="shared" si="3"/>
        <v>140000</v>
      </c>
      <c r="L8" t="str">
        <f t="shared" si="4"/>
        <v>NE</v>
      </c>
      <c r="M8" t="str">
        <f t="shared" si="5"/>
        <v>ANO</v>
      </c>
      <c r="N8">
        <f t="shared" si="6"/>
        <v>80640</v>
      </c>
      <c r="O8">
        <f t="shared" si="7"/>
        <v>98560.000000000015</v>
      </c>
      <c r="P8">
        <f t="shared" si="8"/>
        <v>126000</v>
      </c>
      <c r="Q8">
        <f t="shared" si="9"/>
        <v>154000</v>
      </c>
    </row>
    <row r="9" spans="1:17" x14ac:dyDescent="0.25">
      <c r="A9">
        <v>1</v>
      </c>
      <c r="B9">
        <v>22116</v>
      </c>
      <c r="C9">
        <v>30</v>
      </c>
      <c r="D9">
        <v>14000</v>
      </c>
      <c r="E9">
        <v>20</v>
      </c>
      <c r="F9">
        <f t="shared" si="0"/>
        <v>1.0142857142857142</v>
      </c>
      <c r="G9">
        <f t="shared" si="1"/>
        <v>10.507142857142858</v>
      </c>
      <c r="H9">
        <f>B9/(J9/100)</f>
        <v>105.31428571428572</v>
      </c>
      <c r="I9">
        <f t="shared" si="2"/>
        <v>16800</v>
      </c>
      <c r="J9">
        <f t="shared" si="3"/>
        <v>21000</v>
      </c>
      <c r="L9" t="str">
        <f t="shared" si="4"/>
        <v>NE</v>
      </c>
      <c r="M9" t="str">
        <f t="shared" si="5"/>
        <v>ANO</v>
      </c>
      <c r="N9">
        <f t="shared" si="6"/>
        <v>15120</v>
      </c>
      <c r="O9">
        <f t="shared" si="7"/>
        <v>18480</v>
      </c>
      <c r="P9">
        <f t="shared" si="8"/>
        <v>18900</v>
      </c>
      <c r="Q9">
        <f t="shared" si="9"/>
        <v>23100.000000000004</v>
      </c>
    </row>
    <row r="10" spans="1:17" x14ac:dyDescent="0.25">
      <c r="F10" t="e">
        <f t="shared" si="0"/>
        <v>#DIV/0!</v>
      </c>
      <c r="G10" t="e">
        <f t="shared" si="1"/>
        <v>#DIV/0!</v>
      </c>
      <c r="H10" t="e">
        <f>B10/(J10/100)</f>
        <v>#DIV/0!</v>
      </c>
      <c r="I10">
        <f t="shared" si="2"/>
        <v>0</v>
      </c>
      <c r="J10">
        <f t="shared" si="3"/>
        <v>0</v>
      </c>
      <c r="L10" t="str">
        <f t="shared" si="4"/>
        <v>ANO</v>
      </c>
      <c r="M10" t="str">
        <f t="shared" si="5"/>
        <v>ANO</v>
      </c>
      <c r="N10">
        <f t="shared" si="6"/>
        <v>0</v>
      </c>
      <c r="O10">
        <f t="shared" si="7"/>
        <v>0</v>
      </c>
      <c r="P10">
        <f t="shared" si="8"/>
        <v>0</v>
      </c>
      <c r="Q10">
        <f t="shared" si="9"/>
        <v>0</v>
      </c>
    </row>
    <row r="11" spans="1:17" x14ac:dyDescent="0.25">
      <c r="F11" t="e">
        <f t="shared" si="0"/>
        <v>#DIV/0!</v>
      </c>
      <c r="G11" t="e">
        <f t="shared" si="1"/>
        <v>#DIV/0!</v>
      </c>
      <c r="H11" t="e">
        <f>B11/(J11/100)</f>
        <v>#DIV/0!</v>
      </c>
      <c r="I11">
        <f t="shared" si="2"/>
        <v>0</v>
      </c>
      <c r="J11">
        <f t="shared" si="3"/>
        <v>0</v>
      </c>
      <c r="L11" t="str">
        <f t="shared" si="4"/>
        <v>ANO</v>
      </c>
      <c r="M11" t="str">
        <f t="shared" si="5"/>
        <v>ANO</v>
      </c>
      <c r="N11">
        <f t="shared" si="6"/>
        <v>0</v>
      </c>
      <c r="O11">
        <f t="shared" si="7"/>
        <v>0</v>
      </c>
      <c r="P11">
        <f t="shared" si="8"/>
        <v>0</v>
      </c>
      <c r="Q11">
        <f t="shared" si="9"/>
        <v>0</v>
      </c>
    </row>
    <row r="12" spans="1:17" x14ac:dyDescent="0.25">
      <c r="F12" t="e">
        <f t="shared" si="0"/>
        <v>#DIV/0!</v>
      </c>
      <c r="G12" t="e">
        <f t="shared" si="1"/>
        <v>#DIV/0!</v>
      </c>
      <c r="I12">
        <f t="shared" si="2"/>
        <v>0</v>
      </c>
      <c r="J12">
        <f t="shared" si="3"/>
        <v>0</v>
      </c>
      <c r="L12" t="str">
        <f t="shared" si="4"/>
        <v>ANO</v>
      </c>
      <c r="M12" t="str">
        <f t="shared" si="5"/>
        <v>ANO</v>
      </c>
      <c r="N12">
        <f t="shared" si="6"/>
        <v>0</v>
      </c>
      <c r="O12">
        <f t="shared" si="7"/>
        <v>0</v>
      </c>
      <c r="P12">
        <f t="shared" si="8"/>
        <v>0</v>
      </c>
      <c r="Q12">
        <f t="shared" si="9"/>
        <v>0</v>
      </c>
    </row>
    <row r="13" spans="1:17" x14ac:dyDescent="0.25">
      <c r="F13" t="e">
        <f t="shared" si="0"/>
        <v>#DIV/0!</v>
      </c>
      <c r="G13" t="e">
        <f t="shared" si="1"/>
        <v>#DIV/0!</v>
      </c>
      <c r="I13">
        <f t="shared" si="2"/>
        <v>0</v>
      </c>
      <c r="J13">
        <f t="shared" si="3"/>
        <v>0</v>
      </c>
      <c r="L13" t="str">
        <f t="shared" si="4"/>
        <v>ANO</v>
      </c>
      <c r="M13" t="str">
        <f t="shared" si="5"/>
        <v>ANO</v>
      </c>
      <c r="N13">
        <f t="shared" si="6"/>
        <v>0</v>
      </c>
      <c r="O13">
        <f t="shared" si="7"/>
        <v>0</v>
      </c>
      <c r="P13">
        <f t="shared" si="8"/>
        <v>0</v>
      </c>
      <c r="Q13">
        <f t="shared" si="9"/>
        <v>0</v>
      </c>
    </row>
    <row r="14" spans="1:17" x14ac:dyDescent="0.25">
      <c r="F14" t="e">
        <f t="shared" si="0"/>
        <v>#DIV/0!</v>
      </c>
      <c r="G14" t="e">
        <f t="shared" si="1"/>
        <v>#DIV/0!</v>
      </c>
      <c r="I14">
        <f t="shared" si="2"/>
        <v>0</v>
      </c>
      <c r="J14">
        <f t="shared" si="3"/>
        <v>0</v>
      </c>
      <c r="L14" t="str">
        <f t="shared" si="4"/>
        <v>ANO</v>
      </c>
      <c r="M14" t="str">
        <f t="shared" si="5"/>
        <v>ANO</v>
      </c>
      <c r="N14">
        <f t="shared" si="6"/>
        <v>0</v>
      </c>
      <c r="O14">
        <f t="shared" si="7"/>
        <v>0</v>
      </c>
      <c r="P14">
        <f t="shared" si="8"/>
        <v>0</v>
      </c>
      <c r="Q14">
        <f t="shared" si="9"/>
        <v>0</v>
      </c>
    </row>
    <row r="15" spans="1:17" x14ac:dyDescent="0.25">
      <c r="F15" t="e">
        <f t="shared" si="0"/>
        <v>#DIV/0!</v>
      </c>
      <c r="G15" t="e">
        <f t="shared" si="1"/>
        <v>#DIV/0!</v>
      </c>
      <c r="I15">
        <f t="shared" si="2"/>
        <v>0</v>
      </c>
      <c r="J15">
        <f t="shared" si="3"/>
        <v>0</v>
      </c>
      <c r="L15" t="str">
        <f t="shared" si="4"/>
        <v>ANO</v>
      </c>
      <c r="M15" t="str">
        <f t="shared" si="5"/>
        <v>ANO</v>
      </c>
      <c r="N15">
        <f t="shared" si="6"/>
        <v>0</v>
      </c>
      <c r="O15">
        <f t="shared" si="7"/>
        <v>0</v>
      </c>
      <c r="P15">
        <f t="shared" si="8"/>
        <v>0</v>
      </c>
      <c r="Q15">
        <f t="shared" si="9"/>
        <v>0</v>
      </c>
    </row>
    <row r="16" spans="1:17" x14ac:dyDescent="0.25">
      <c r="F16" t="e">
        <f t="shared" si="0"/>
        <v>#DIV/0!</v>
      </c>
      <c r="G16" t="e">
        <f t="shared" si="1"/>
        <v>#DIV/0!</v>
      </c>
      <c r="I16">
        <f t="shared" si="2"/>
        <v>0</v>
      </c>
      <c r="J16">
        <f t="shared" si="3"/>
        <v>0</v>
      </c>
      <c r="L16" t="str">
        <f t="shared" si="4"/>
        <v>ANO</v>
      </c>
      <c r="M16" t="str">
        <f t="shared" si="5"/>
        <v>ANO</v>
      </c>
      <c r="N16">
        <f t="shared" si="6"/>
        <v>0</v>
      </c>
      <c r="O16">
        <f t="shared" si="7"/>
        <v>0</v>
      </c>
      <c r="P16">
        <f t="shared" si="8"/>
        <v>0</v>
      </c>
      <c r="Q16">
        <f t="shared" si="9"/>
        <v>0</v>
      </c>
    </row>
    <row r="17" spans="1:17" x14ac:dyDescent="0.25">
      <c r="F17" t="e">
        <f t="shared" si="0"/>
        <v>#DIV/0!</v>
      </c>
      <c r="G17" t="e">
        <f t="shared" si="1"/>
        <v>#DIV/0!</v>
      </c>
      <c r="I17">
        <f t="shared" si="2"/>
        <v>0</v>
      </c>
      <c r="J17">
        <f t="shared" si="3"/>
        <v>0</v>
      </c>
      <c r="L17" t="str">
        <f t="shared" si="4"/>
        <v>ANO</v>
      </c>
      <c r="M17" t="str">
        <f t="shared" si="5"/>
        <v>ANO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</row>
    <row r="18" spans="1:17" x14ac:dyDescent="0.25">
      <c r="F18" t="e">
        <f t="shared" si="0"/>
        <v>#DIV/0!</v>
      </c>
      <c r="G18" t="e">
        <f t="shared" si="1"/>
        <v>#DIV/0!</v>
      </c>
      <c r="I18">
        <f t="shared" si="2"/>
        <v>0</v>
      </c>
      <c r="J18">
        <f t="shared" si="3"/>
        <v>0</v>
      </c>
      <c r="L18" t="str">
        <f t="shared" si="4"/>
        <v>ANO</v>
      </c>
      <c r="M18" t="str">
        <f t="shared" si="5"/>
        <v>ANO</v>
      </c>
      <c r="N18">
        <f t="shared" si="6"/>
        <v>0</v>
      </c>
      <c r="O18">
        <f t="shared" si="7"/>
        <v>0</v>
      </c>
      <c r="P18">
        <f t="shared" si="8"/>
        <v>0</v>
      </c>
      <c r="Q18">
        <f t="shared" si="9"/>
        <v>0</v>
      </c>
    </row>
    <row r="21" spans="1:17" x14ac:dyDescent="0.25">
      <c r="A21" t="s">
        <v>12</v>
      </c>
    </row>
    <row r="22" spans="1:17" x14ac:dyDescent="0.25">
      <c r="A22" t="s">
        <v>13</v>
      </c>
      <c r="B22" t="s">
        <v>14</v>
      </c>
      <c r="D22" t="s">
        <v>19</v>
      </c>
      <c r="E22" t="s">
        <v>15</v>
      </c>
      <c r="F22" t="s">
        <v>16</v>
      </c>
      <c r="G22" t="s">
        <v>17</v>
      </c>
    </row>
    <row r="23" spans="1:17" x14ac:dyDescent="0.25">
      <c r="A23" t="s">
        <v>18</v>
      </c>
      <c r="E23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trpaslik</vt:lpstr>
      <vt:lpstr>zmutovaný wurm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2018-05-30T10:51:46Z</dcterms:modified>
</cp:coreProperties>
</file>