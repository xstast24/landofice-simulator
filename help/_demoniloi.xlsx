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jezdec" sheetId="1" r:id="rId1"/>
    <sheet name="tezky jezdec" sheetId="4" r:id="rId2"/>
    <sheet name="knez" sheetId="2" r:id="rId3"/>
    <sheet name="Stínový obr" sheetId="5" r:id="rId4"/>
    <sheet name="mág" sheetId="6" r:id="rId5"/>
    <sheet name="bestie" sheetId="7" r:id="rId6"/>
    <sheet name="Stínový jezdec" sheetId="8" r:id="rId7"/>
    <sheet name="Stínový válečník" sheetId="9" r:id="rId8"/>
    <sheet name="demoni stinovy mag" sheetId="10" r:id="rId9"/>
    <sheet name="Stínový Obrnený jezdec" sheetId="11" r:id="rId10"/>
  </sheets>
  <calcPr calcId="145621"/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3" i="4"/>
  <c r="D18" i="1"/>
  <c r="D17" i="1"/>
  <c r="E18" i="1"/>
  <c r="K18" i="1" s="1"/>
  <c r="E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2" i="9"/>
  <c r="H18" i="1" l="1"/>
  <c r="K17" i="1"/>
  <c r="H17" i="1"/>
  <c r="Q18" i="11"/>
  <c r="N18" i="11" s="1"/>
  <c r="K18" i="11"/>
  <c r="R18" i="11" s="1"/>
  <c r="J18" i="11"/>
  <c r="P18" i="11" s="1"/>
  <c r="H18" i="11"/>
  <c r="G18" i="11"/>
  <c r="Q17" i="11"/>
  <c r="K17" i="11"/>
  <c r="R17" i="11" s="1"/>
  <c r="J17" i="11"/>
  <c r="P17" i="11" s="1"/>
  <c r="H17" i="11"/>
  <c r="G17" i="11"/>
  <c r="Q16" i="11"/>
  <c r="N16" i="11" s="1"/>
  <c r="K16" i="11"/>
  <c r="R16" i="11" s="1"/>
  <c r="J16" i="11"/>
  <c r="P16" i="11" s="1"/>
  <c r="H16" i="11"/>
  <c r="G16" i="11"/>
  <c r="Q15" i="11"/>
  <c r="K15" i="11"/>
  <c r="R15" i="11" s="1"/>
  <c r="J15" i="11"/>
  <c r="P15" i="11" s="1"/>
  <c r="H15" i="11"/>
  <c r="G15" i="11"/>
  <c r="Q14" i="11"/>
  <c r="N14" i="11" s="1"/>
  <c r="K14" i="11"/>
  <c r="R14" i="11" s="1"/>
  <c r="J14" i="11"/>
  <c r="P14" i="11" s="1"/>
  <c r="H14" i="11"/>
  <c r="G14" i="11"/>
  <c r="Q13" i="11"/>
  <c r="K13" i="11"/>
  <c r="R13" i="11" s="1"/>
  <c r="J13" i="11"/>
  <c r="P13" i="11" s="1"/>
  <c r="H13" i="11"/>
  <c r="G13" i="11"/>
  <c r="Q12" i="11"/>
  <c r="N12" i="11" s="1"/>
  <c r="K12" i="11"/>
  <c r="R12" i="11" s="1"/>
  <c r="J12" i="11"/>
  <c r="P12" i="11" s="1"/>
  <c r="H12" i="11"/>
  <c r="G12" i="11"/>
  <c r="Q11" i="11"/>
  <c r="K11" i="11"/>
  <c r="R11" i="11" s="1"/>
  <c r="J11" i="11"/>
  <c r="P11" i="11" s="1"/>
  <c r="H11" i="11"/>
  <c r="G11" i="11"/>
  <c r="P10" i="11"/>
  <c r="K10" i="11"/>
  <c r="R10" i="11" s="1"/>
  <c r="J10" i="11"/>
  <c r="O10" i="11" s="1"/>
  <c r="M10" i="11" s="1"/>
  <c r="I10" i="11"/>
  <c r="H10" i="11"/>
  <c r="G10" i="11"/>
  <c r="R9" i="11"/>
  <c r="Q9" i="11"/>
  <c r="N9" i="11" s="1"/>
  <c r="K9" i="11"/>
  <c r="J9" i="11"/>
  <c r="P9" i="11" s="1"/>
  <c r="I9" i="11"/>
  <c r="H9" i="11"/>
  <c r="G9" i="11"/>
  <c r="P8" i="11"/>
  <c r="K8" i="11"/>
  <c r="Q8" i="11" s="1"/>
  <c r="J8" i="11"/>
  <c r="O8" i="11" s="1"/>
  <c r="M8" i="11" s="1"/>
  <c r="H8" i="11"/>
  <c r="G8" i="11"/>
  <c r="Q7" i="11"/>
  <c r="N7" i="11" s="1"/>
  <c r="K7" i="11"/>
  <c r="R7" i="11" s="1"/>
  <c r="J7" i="11"/>
  <c r="P7" i="11" s="1"/>
  <c r="H7" i="11"/>
  <c r="G7" i="11"/>
  <c r="R6" i="11"/>
  <c r="P6" i="11"/>
  <c r="K6" i="11"/>
  <c r="Q6" i="11" s="1"/>
  <c r="N6" i="11" s="1"/>
  <c r="J6" i="11"/>
  <c r="O6" i="11" s="1"/>
  <c r="M6" i="11" s="1"/>
  <c r="I6" i="11"/>
  <c r="H6" i="11"/>
  <c r="G6" i="11"/>
  <c r="R5" i="11"/>
  <c r="Q5" i="11"/>
  <c r="N5" i="11" s="1"/>
  <c r="K5" i="11"/>
  <c r="J5" i="11"/>
  <c r="I5" i="11" s="1"/>
  <c r="H5" i="11"/>
  <c r="G5" i="11"/>
  <c r="P4" i="11"/>
  <c r="K4" i="11"/>
  <c r="Q4" i="11" s="1"/>
  <c r="J4" i="11"/>
  <c r="O4" i="11" s="1"/>
  <c r="M4" i="11" s="1"/>
  <c r="I4" i="11"/>
  <c r="H4" i="11"/>
  <c r="G4" i="11"/>
  <c r="Q3" i="11"/>
  <c r="N3" i="11" s="1"/>
  <c r="K3" i="11"/>
  <c r="R3" i="11" s="1"/>
  <c r="J3" i="11"/>
  <c r="P3" i="11" s="1"/>
  <c r="H3" i="11"/>
  <c r="G3" i="11"/>
  <c r="K2" i="11"/>
  <c r="Q2" i="11" s="1"/>
  <c r="J2" i="11"/>
  <c r="O2" i="11" s="1"/>
  <c r="H2" i="11"/>
  <c r="G2" i="11"/>
  <c r="K50" i="1"/>
  <c r="K51" i="1"/>
  <c r="K52" i="1"/>
  <c r="K49" i="1"/>
  <c r="K53" i="1"/>
  <c r="D38" i="1"/>
  <c r="D37" i="1"/>
  <c r="D36" i="1"/>
  <c r="D35" i="1"/>
  <c r="D34" i="1"/>
  <c r="O39" i="1"/>
  <c r="O40" i="1"/>
  <c r="O41" i="1"/>
  <c r="O42" i="1"/>
  <c r="O38" i="1"/>
  <c r="K18" i="8"/>
  <c r="R18" i="8" s="1"/>
  <c r="J18" i="8"/>
  <c r="P18" i="8" s="1"/>
  <c r="H18" i="8"/>
  <c r="G18" i="8"/>
  <c r="Q17" i="8"/>
  <c r="N17" i="8" s="1"/>
  <c r="K17" i="8"/>
  <c r="R17" i="8" s="1"/>
  <c r="J17" i="8"/>
  <c r="P17" i="8" s="1"/>
  <c r="H17" i="8"/>
  <c r="G17" i="8"/>
  <c r="K16" i="8"/>
  <c r="R16" i="8" s="1"/>
  <c r="J16" i="8"/>
  <c r="P16" i="8" s="1"/>
  <c r="H16" i="8"/>
  <c r="G16" i="8"/>
  <c r="Q15" i="8"/>
  <c r="N15" i="8" s="1"/>
  <c r="K15" i="8"/>
  <c r="R15" i="8" s="1"/>
  <c r="J15" i="8"/>
  <c r="P15" i="8" s="1"/>
  <c r="H15" i="8"/>
  <c r="G15" i="8"/>
  <c r="K14" i="8"/>
  <c r="R14" i="8" s="1"/>
  <c r="J14" i="8"/>
  <c r="P14" i="8" s="1"/>
  <c r="H14" i="8"/>
  <c r="G14" i="8"/>
  <c r="Q13" i="8"/>
  <c r="N13" i="8" s="1"/>
  <c r="K13" i="8"/>
  <c r="R13" i="8" s="1"/>
  <c r="J13" i="8"/>
  <c r="P13" i="8" s="1"/>
  <c r="H13" i="8"/>
  <c r="G13" i="8"/>
  <c r="K12" i="8"/>
  <c r="R12" i="8" s="1"/>
  <c r="J12" i="8"/>
  <c r="P12" i="8" s="1"/>
  <c r="H12" i="8"/>
  <c r="G12" i="8"/>
  <c r="Q11" i="8"/>
  <c r="N11" i="8" s="1"/>
  <c r="K11" i="8"/>
  <c r="R11" i="8" s="1"/>
  <c r="J11" i="8"/>
  <c r="P11" i="8" s="1"/>
  <c r="H11" i="8"/>
  <c r="G11" i="8"/>
  <c r="K10" i="8"/>
  <c r="R10" i="8" s="1"/>
  <c r="J10" i="8"/>
  <c r="O10" i="8" s="1"/>
  <c r="H10" i="8"/>
  <c r="G10" i="8"/>
  <c r="R9" i="8"/>
  <c r="K9" i="8"/>
  <c r="Q9" i="8" s="1"/>
  <c r="N9" i="8" s="1"/>
  <c r="J9" i="8"/>
  <c r="P9" i="8" s="1"/>
  <c r="I9" i="8"/>
  <c r="H9" i="8"/>
  <c r="G9" i="8"/>
  <c r="K8" i="8"/>
  <c r="Q8" i="8" s="1"/>
  <c r="J8" i="8"/>
  <c r="O8" i="8" s="1"/>
  <c r="H8" i="8"/>
  <c r="G8" i="8"/>
  <c r="K7" i="8"/>
  <c r="R7" i="8" s="1"/>
  <c r="J7" i="8"/>
  <c r="P7" i="8" s="1"/>
  <c r="H7" i="8"/>
  <c r="G7" i="8"/>
  <c r="K6" i="8"/>
  <c r="R6" i="8" s="1"/>
  <c r="J6" i="8"/>
  <c r="O6" i="8" s="1"/>
  <c r="H6" i="8"/>
  <c r="G6" i="8"/>
  <c r="K5" i="8"/>
  <c r="R5" i="8" s="1"/>
  <c r="J5" i="8"/>
  <c r="I5" i="8" s="1"/>
  <c r="H5" i="8"/>
  <c r="G5" i="8"/>
  <c r="K4" i="8"/>
  <c r="Q4" i="8" s="1"/>
  <c r="J4" i="8"/>
  <c r="O4" i="8" s="1"/>
  <c r="H4" i="8"/>
  <c r="G4" i="8"/>
  <c r="K3" i="8"/>
  <c r="R3" i="8" s="1"/>
  <c r="J3" i="8"/>
  <c r="P3" i="8" s="1"/>
  <c r="H3" i="8"/>
  <c r="G3" i="8"/>
  <c r="K2" i="8"/>
  <c r="R2" i="8" s="1"/>
  <c r="J2" i="8"/>
  <c r="I2" i="8" s="1"/>
  <c r="H2" i="8"/>
  <c r="G2" i="8"/>
  <c r="K18" i="10"/>
  <c r="R18" i="10" s="1"/>
  <c r="J18" i="10"/>
  <c r="O18" i="10" s="1"/>
  <c r="H18" i="10"/>
  <c r="G18" i="10"/>
  <c r="K17" i="10"/>
  <c r="R17" i="10" s="1"/>
  <c r="J17" i="10"/>
  <c r="O17" i="10" s="1"/>
  <c r="H17" i="10"/>
  <c r="G17" i="10"/>
  <c r="K16" i="10"/>
  <c r="R16" i="10" s="1"/>
  <c r="J16" i="10"/>
  <c r="O16" i="10" s="1"/>
  <c r="H16" i="10"/>
  <c r="G16" i="10"/>
  <c r="K15" i="10"/>
  <c r="R15" i="10" s="1"/>
  <c r="J15" i="10"/>
  <c r="O15" i="10" s="1"/>
  <c r="H15" i="10"/>
  <c r="G15" i="10"/>
  <c r="P14" i="10"/>
  <c r="K14" i="10"/>
  <c r="R14" i="10" s="1"/>
  <c r="J14" i="10"/>
  <c r="O14" i="10" s="1"/>
  <c r="H14" i="10"/>
  <c r="G14" i="10"/>
  <c r="K13" i="10"/>
  <c r="R13" i="10" s="1"/>
  <c r="J13" i="10"/>
  <c r="O13" i="10" s="1"/>
  <c r="H13" i="10"/>
  <c r="G13" i="10"/>
  <c r="K12" i="10"/>
  <c r="J12" i="10"/>
  <c r="O12" i="10" s="1"/>
  <c r="H12" i="10"/>
  <c r="G12" i="10"/>
  <c r="K11" i="10"/>
  <c r="R11" i="10" s="1"/>
  <c r="J11" i="10"/>
  <c r="O11" i="10" s="1"/>
  <c r="H11" i="10"/>
  <c r="G11" i="10"/>
  <c r="K10" i="10"/>
  <c r="R10" i="10" s="1"/>
  <c r="J10" i="10"/>
  <c r="O10" i="10" s="1"/>
  <c r="H10" i="10"/>
  <c r="G10" i="10"/>
  <c r="K9" i="10"/>
  <c r="Q9" i="10" s="1"/>
  <c r="J9" i="10"/>
  <c r="O9" i="10" s="1"/>
  <c r="H9" i="10"/>
  <c r="G9" i="10"/>
  <c r="K8" i="10"/>
  <c r="Q8" i="10" s="1"/>
  <c r="J8" i="10"/>
  <c r="P8" i="10" s="1"/>
  <c r="H8" i="10"/>
  <c r="G8" i="10"/>
  <c r="K7" i="10"/>
  <c r="R7" i="10" s="1"/>
  <c r="J7" i="10"/>
  <c r="O7" i="10" s="1"/>
  <c r="H7" i="10"/>
  <c r="G7" i="10"/>
  <c r="K6" i="10"/>
  <c r="R6" i="10" s="1"/>
  <c r="J6" i="10"/>
  <c r="H6" i="10"/>
  <c r="G6" i="10"/>
  <c r="K5" i="10"/>
  <c r="R5" i="10" s="1"/>
  <c r="J5" i="10"/>
  <c r="O5" i="10" s="1"/>
  <c r="H5" i="10"/>
  <c r="G5" i="10"/>
  <c r="Q4" i="10"/>
  <c r="K4" i="10"/>
  <c r="I4" i="10" s="1"/>
  <c r="J4" i="10"/>
  <c r="P4" i="10" s="1"/>
  <c r="H4" i="10"/>
  <c r="G4" i="10"/>
  <c r="K3" i="10"/>
  <c r="R3" i="10" s="1"/>
  <c r="J3" i="10"/>
  <c r="O3" i="10" s="1"/>
  <c r="H3" i="10"/>
  <c r="G3" i="10"/>
  <c r="K2" i="10"/>
  <c r="R2" i="10" s="1"/>
  <c r="J2" i="10"/>
  <c r="O2" i="10" s="1"/>
  <c r="H2" i="10"/>
  <c r="G2" i="10"/>
  <c r="K18" i="9"/>
  <c r="R18" i="9" s="1"/>
  <c r="J18" i="9"/>
  <c r="O18" i="9" s="1"/>
  <c r="G18" i="9"/>
  <c r="K17" i="9"/>
  <c r="R17" i="9" s="1"/>
  <c r="J17" i="9"/>
  <c r="P17" i="9" s="1"/>
  <c r="G17" i="9"/>
  <c r="K16" i="9"/>
  <c r="R16" i="9" s="1"/>
  <c r="J16" i="9"/>
  <c r="P16" i="9" s="1"/>
  <c r="G16" i="9"/>
  <c r="K15" i="9"/>
  <c r="Q15" i="9" s="1"/>
  <c r="J15" i="9"/>
  <c r="P15" i="9" s="1"/>
  <c r="G15" i="9"/>
  <c r="K14" i="9"/>
  <c r="R14" i="9" s="1"/>
  <c r="J14" i="9"/>
  <c r="O14" i="9" s="1"/>
  <c r="G14" i="9"/>
  <c r="K13" i="9"/>
  <c r="R13" i="9" s="1"/>
  <c r="J13" i="9"/>
  <c r="P13" i="9" s="1"/>
  <c r="G13" i="9"/>
  <c r="K12" i="9"/>
  <c r="R12" i="9" s="1"/>
  <c r="J12" i="9"/>
  <c r="O12" i="9" s="1"/>
  <c r="G12" i="9"/>
  <c r="K11" i="9"/>
  <c r="R11" i="9" s="1"/>
  <c r="J11" i="9"/>
  <c r="P11" i="9" s="1"/>
  <c r="G11" i="9"/>
  <c r="K10" i="9"/>
  <c r="R10" i="9" s="1"/>
  <c r="J10" i="9"/>
  <c r="O10" i="9" s="1"/>
  <c r="G10" i="9"/>
  <c r="K9" i="9"/>
  <c r="R9" i="9" s="1"/>
  <c r="J9" i="9"/>
  <c r="O9" i="9" s="1"/>
  <c r="G9" i="9"/>
  <c r="K8" i="9"/>
  <c r="Q8" i="9" s="1"/>
  <c r="J8" i="9"/>
  <c r="P8" i="9" s="1"/>
  <c r="G8" i="9"/>
  <c r="K7" i="9"/>
  <c r="Q7" i="9" s="1"/>
  <c r="J7" i="9"/>
  <c r="P7" i="9" s="1"/>
  <c r="G7" i="9"/>
  <c r="K6" i="9"/>
  <c r="R6" i="9" s="1"/>
  <c r="J6" i="9"/>
  <c r="O6" i="9" s="1"/>
  <c r="G6" i="9"/>
  <c r="K5" i="9"/>
  <c r="R5" i="9" s="1"/>
  <c r="J5" i="9"/>
  <c r="I5" i="9" s="1"/>
  <c r="G5" i="9"/>
  <c r="K4" i="9"/>
  <c r="Q4" i="9" s="1"/>
  <c r="J4" i="9"/>
  <c r="P4" i="9" s="1"/>
  <c r="G4" i="9"/>
  <c r="K3" i="9"/>
  <c r="Q3" i="9" s="1"/>
  <c r="J3" i="9"/>
  <c r="P3" i="9" s="1"/>
  <c r="G3" i="9"/>
  <c r="K2" i="9"/>
  <c r="Q2" i="9" s="1"/>
  <c r="J2" i="9"/>
  <c r="P2" i="9" s="1"/>
  <c r="G2" i="9"/>
  <c r="Q7" i="8" l="1"/>
  <c r="N7" i="8" s="1"/>
  <c r="I2" i="11"/>
  <c r="R2" i="11"/>
  <c r="N2" i="11"/>
  <c r="P2" i="11"/>
  <c r="M2" i="11" s="1"/>
  <c r="I6" i="8"/>
  <c r="R12" i="10"/>
  <c r="I12" i="10"/>
  <c r="Q13" i="9"/>
  <c r="R7" i="9"/>
  <c r="R8" i="9"/>
  <c r="P18" i="9"/>
  <c r="Q6" i="9"/>
  <c r="N6" i="9" s="1"/>
  <c r="N7" i="9"/>
  <c r="Q11" i="9"/>
  <c r="N11" i="9" s="1"/>
  <c r="M18" i="9"/>
  <c r="I11" i="9"/>
  <c r="Q5" i="8"/>
  <c r="N5" i="8" s="1"/>
  <c r="P16" i="10"/>
  <c r="M16" i="10" s="1"/>
  <c r="N4" i="10"/>
  <c r="R4" i="10"/>
  <c r="I8" i="10"/>
  <c r="I5" i="10"/>
  <c r="I10" i="10"/>
  <c r="I9" i="10"/>
  <c r="I3" i="10"/>
  <c r="I2" i="10"/>
  <c r="I7" i="10"/>
  <c r="I6" i="10"/>
  <c r="Q10" i="10"/>
  <c r="N10" i="10" s="1"/>
  <c r="R8" i="10"/>
  <c r="N8" i="10" s="1"/>
  <c r="P7" i="10"/>
  <c r="M7" i="10" s="1"/>
  <c r="Q6" i="10"/>
  <c r="N6" i="10" s="1"/>
  <c r="Q3" i="8"/>
  <c r="N3" i="8" s="1"/>
  <c r="R2" i="9"/>
  <c r="N2" i="9" s="1"/>
  <c r="I2" i="9"/>
  <c r="N11" i="11"/>
  <c r="N15" i="11"/>
  <c r="N13" i="11"/>
  <c r="N17" i="11"/>
  <c r="R4" i="11"/>
  <c r="N4" i="11" s="1"/>
  <c r="O5" i="11"/>
  <c r="I8" i="11"/>
  <c r="R8" i="11"/>
  <c r="N8" i="11" s="1"/>
  <c r="O9" i="11"/>
  <c r="M9" i="11" s="1"/>
  <c r="O12" i="11"/>
  <c r="M12" i="11" s="1"/>
  <c r="O14" i="11"/>
  <c r="M14" i="11" s="1"/>
  <c r="O16" i="11"/>
  <c r="M16" i="11" s="1"/>
  <c r="O18" i="11"/>
  <c r="M18" i="11" s="1"/>
  <c r="I3" i="11"/>
  <c r="P5" i="11"/>
  <c r="I7" i="11"/>
  <c r="Q10" i="11"/>
  <c r="N10" i="11" s="1"/>
  <c r="I11" i="11"/>
  <c r="O3" i="11"/>
  <c r="M3" i="11" s="1"/>
  <c r="O7" i="11"/>
  <c r="M7" i="11" s="1"/>
  <c r="O11" i="11"/>
  <c r="M11" i="11" s="1"/>
  <c r="O13" i="11"/>
  <c r="M13" i="11" s="1"/>
  <c r="O15" i="11"/>
  <c r="M15" i="11" s="1"/>
  <c r="O17" i="11"/>
  <c r="M17" i="11" s="1"/>
  <c r="O43" i="1"/>
  <c r="D39" i="1"/>
  <c r="N13" i="9"/>
  <c r="R4" i="9"/>
  <c r="N4" i="9" s="1"/>
  <c r="N8" i="9"/>
  <c r="Q10" i="9"/>
  <c r="N10" i="9" s="1"/>
  <c r="R15" i="9"/>
  <c r="N15" i="9" s="1"/>
  <c r="P12" i="9"/>
  <c r="P14" i="9"/>
  <c r="M14" i="9" s="1"/>
  <c r="P5" i="9"/>
  <c r="P6" i="9"/>
  <c r="M6" i="9" s="1"/>
  <c r="I7" i="9"/>
  <c r="I8" i="9"/>
  <c r="P9" i="9"/>
  <c r="M9" i="9" s="1"/>
  <c r="P10" i="9"/>
  <c r="M10" i="9" s="1"/>
  <c r="M12" i="9"/>
  <c r="P4" i="8"/>
  <c r="I4" i="8"/>
  <c r="R4" i="8"/>
  <c r="P6" i="8"/>
  <c r="M6" i="8" s="1"/>
  <c r="I8" i="8"/>
  <c r="R8" i="8"/>
  <c r="P10" i="8"/>
  <c r="M10" i="8" s="1"/>
  <c r="Q14" i="8"/>
  <c r="M4" i="8"/>
  <c r="N4" i="8"/>
  <c r="N8" i="8"/>
  <c r="Q12" i="8"/>
  <c r="N12" i="8" s="1"/>
  <c r="Q16" i="8"/>
  <c r="P8" i="8"/>
  <c r="M8" i="8" s="1"/>
  <c r="N14" i="8"/>
  <c r="N16" i="8"/>
  <c r="O5" i="8"/>
  <c r="O9" i="8"/>
  <c r="M9" i="8" s="1"/>
  <c r="O12" i="8"/>
  <c r="M12" i="8" s="1"/>
  <c r="O14" i="8"/>
  <c r="M14" i="8" s="1"/>
  <c r="O16" i="8"/>
  <c r="M16" i="8" s="1"/>
  <c r="O18" i="8"/>
  <c r="M18" i="8" s="1"/>
  <c r="Q2" i="8"/>
  <c r="N2" i="8" s="1"/>
  <c r="I3" i="8"/>
  <c r="P5" i="8"/>
  <c r="Q6" i="8"/>
  <c r="N6" i="8" s="1"/>
  <c r="I7" i="8"/>
  <c r="Q10" i="8"/>
  <c r="N10" i="8" s="1"/>
  <c r="I11" i="8"/>
  <c r="O2" i="8"/>
  <c r="P2" i="8"/>
  <c r="O3" i="8"/>
  <c r="M3" i="8" s="1"/>
  <c r="O7" i="8"/>
  <c r="M7" i="8" s="1"/>
  <c r="I10" i="8"/>
  <c r="O11" i="8"/>
  <c r="M11" i="8" s="1"/>
  <c r="O13" i="8"/>
  <c r="M13" i="8" s="1"/>
  <c r="O15" i="8"/>
  <c r="M15" i="8" s="1"/>
  <c r="O17" i="8"/>
  <c r="M17" i="8" s="1"/>
  <c r="Q18" i="8"/>
  <c r="N18" i="8" s="1"/>
  <c r="P11" i="10"/>
  <c r="M11" i="10" s="1"/>
  <c r="P15" i="10"/>
  <c r="M15" i="10" s="1"/>
  <c r="M17" i="10"/>
  <c r="Q2" i="10"/>
  <c r="N2" i="10" s="1"/>
  <c r="P9" i="10"/>
  <c r="M9" i="10" s="1"/>
  <c r="P12" i="10"/>
  <c r="M12" i="10" s="1"/>
  <c r="M14" i="10"/>
  <c r="P5" i="10"/>
  <c r="M5" i="10" s="1"/>
  <c r="R9" i="10"/>
  <c r="N9" i="10" s="1"/>
  <c r="P13" i="10"/>
  <c r="M13" i="10" s="1"/>
  <c r="P17" i="10"/>
  <c r="P18" i="10"/>
  <c r="M18" i="10" s="1"/>
  <c r="P3" i="10"/>
  <c r="M3" i="10" s="1"/>
  <c r="O6" i="10"/>
  <c r="P2" i="10"/>
  <c r="M2" i="10" s="1"/>
  <c r="Q3" i="10"/>
  <c r="N3" i="10" s="1"/>
  <c r="P6" i="10"/>
  <c r="Q7" i="10"/>
  <c r="N7" i="10" s="1"/>
  <c r="P10" i="10"/>
  <c r="M10" i="10" s="1"/>
  <c r="Q11" i="10"/>
  <c r="N11" i="10" s="1"/>
  <c r="Q13" i="10"/>
  <c r="N13" i="10" s="1"/>
  <c r="Q15" i="10"/>
  <c r="N15" i="10" s="1"/>
  <c r="Q17" i="10"/>
  <c r="N17" i="10" s="1"/>
  <c r="O4" i="10"/>
  <c r="M4" i="10" s="1"/>
  <c r="O8" i="10"/>
  <c r="M8" i="10" s="1"/>
  <c r="I11" i="10"/>
  <c r="Q5" i="10"/>
  <c r="N5" i="10" s="1"/>
  <c r="Q12" i="10"/>
  <c r="Q14" i="10"/>
  <c r="N14" i="10" s="1"/>
  <c r="Q16" i="10"/>
  <c r="N16" i="10" s="1"/>
  <c r="Q18" i="10"/>
  <c r="N18" i="10" s="1"/>
  <c r="R3" i="9"/>
  <c r="N3" i="9" s="1"/>
  <c r="O2" i="9"/>
  <c r="M2" i="9" s="1"/>
  <c r="I4" i="9"/>
  <c r="O5" i="9"/>
  <c r="M5" i="9" s="1"/>
  <c r="O16" i="9"/>
  <c r="M16" i="9" s="1"/>
  <c r="Q17" i="9"/>
  <c r="N17" i="9" s="1"/>
  <c r="I3" i="9"/>
  <c r="O4" i="9"/>
  <c r="M4" i="9" s="1"/>
  <c r="O8" i="9"/>
  <c r="M8" i="9" s="1"/>
  <c r="O3" i="9"/>
  <c r="M3" i="9" s="1"/>
  <c r="Q5" i="9"/>
  <c r="N5" i="9" s="1"/>
  <c r="I6" i="9"/>
  <c r="O7" i="9"/>
  <c r="M7" i="9" s="1"/>
  <c r="Q9" i="9"/>
  <c r="N9" i="9" s="1"/>
  <c r="I10" i="9"/>
  <c r="O11" i="9"/>
  <c r="M11" i="9" s="1"/>
  <c r="Q12" i="9"/>
  <c r="N12" i="9" s="1"/>
  <c r="O13" i="9"/>
  <c r="M13" i="9" s="1"/>
  <c r="Q14" i="9"/>
  <c r="N14" i="9" s="1"/>
  <c r="O15" i="9"/>
  <c r="M15" i="9" s="1"/>
  <c r="Q16" i="9"/>
  <c r="N16" i="9" s="1"/>
  <c r="O17" i="9"/>
  <c r="M17" i="9" s="1"/>
  <c r="Q18" i="9"/>
  <c r="N18" i="9" s="1"/>
  <c r="I9" i="9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6" i="6"/>
  <c r="N12" i="10" l="1"/>
  <c r="M5" i="11"/>
  <c r="M2" i="8"/>
  <c r="M5" i="8"/>
  <c r="M6" i="10"/>
  <c r="H31" i="7"/>
  <c r="H32" i="7"/>
  <c r="H33" i="7"/>
  <c r="J33" i="7" s="1"/>
  <c r="H34" i="7"/>
  <c r="J34" i="7" s="1"/>
  <c r="H35" i="7"/>
  <c r="J35" i="7" s="1"/>
  <c r="H36" i="7"/>
  <c r="H37" i="7"/>
  <c r="H38" i="7"/>
  <c r="H39" i="7"/>
  <c r="H40" i="7"/>
  <c r="H41" i="7"/>
  <c r="H42" i="7"/>
  <c r="H43" i="7"/>
  <c r="H44" i="7"/>
  <c r="H45" i="7"/>
  <c r="H46" i="7"/>
  <c r="H47" i="7"/>
  <c r="J47" i="7" s="1"/>
  <c r="H30" i="7"/>
  <c r="J30" i="7" s="1"/>
  <c r="J46" i="7"/>
  <c r="J45" i="7"/>
  <c r="J44" i="7"/>
  <c r="J43" i="7"/>
  <c r="J42" i="7"/>
  <c r="J41" i="7"/>
  <c r="J40" i="7"/>
  <c r="J39" i="7"/>
  <c r="J38" i="7"/>
  <c r="J37" i="7"/>
  <c r="J36" i="7"/>
  <c r="J32" i="7"/>
  <c r="J31" i="7"/>
  <c r="E37" i="7"/>
  <c r="E38" i="7"/>
  <c r="E39" i="7"/>
  <c r="E40" i="7"/>
  <c r="E41" i="7"/>
  <c r="E42" i="7"/>
  <c r="E43" i="7"/>
  <c r="E44" i="7"/>
  <c r="E45" i="7"/>
  <c r="E46" i="7"/>
  <c r="E47" i="7"/>
  <c r="C31" i="7"/>
  <c r="E31" i="7" s="1"/>
  <c r="C32" i="7"/>
  <c r="E32" i="7" s="1"/>
  <c r="C33" i="7"/>
  <c r="E33" i="7" s="1"/>
  <c r="C34" i="7"/>
  <c r="E34" i="7" s="1"/>
  <c r="C35" i="7"/>
  <c r="E35" i="7" s="1"/>
  <c r="C36" i="7"/>
  <c r="E36" i="7" s="1"/>
  <c r="C37" i="7"/>
  <c r="C38" i="7"/>
  <c r="C39" i="7"/>
  <c r="C40" i="7"/>
  <c r="C41" i="7"/>
  <c r="C42" i="7"/>
  <c r="C43" i="7"/>
  <c r="C44" i="7"/>
  <c r="C45" i="7"/>
  <c r="C46" i="7"/>
  <c r="C47" i="7"/>
  <c r="C30" i="7"/>
  <c r="E30" i="7" s="1"/>
  <c r="C46" i="6" l="1"/>
  <c r="P19" i="7"/>
  <c r="M19" i="7" s="1"/>
  <c r="J19" i="7"/>
  <c r="Q19" i="7" s="1"/>
  <c r="I19" i="7"/>
  <c r="O19" i="7" s="1"/>
  <c r="G19" i="7"/>
  <c r="F19" i="7"/>
  <c r="J18" i="7"/>
  <c r="Q18" i="7" s="1"/>
  <c r="I18" i="7"/>
  <c r="O18" i="7" s="1"/>
  <c r="G18" i="7"/>
  <c r="F18" i="7"/>
  <c r="P17" i="7"/>
  <c r="J17" i="7"/>
  <c r="Q17" i="7" s="1"/>
  <c r="I17" i="7"/>
  <c r="O17" i="7" s="1"/>
  <c r="G17" i="7"/>
  <c r="F17" i="7"/>
  <c r="J16" i="7"/>
  <c r="Q16" i="7" s="1"/>
  <c r="I16" i="7"/>
  <c r="O16" i="7" s="1"/>
  <c r="G16" i="7"/>
  <c r="F16" i="7"/>
  <c r="P15" i="7"/>
  <c r="M15" i="7" s="1"/>
  <c r="J15" i="7"/>
  <c r="Q15" i="7" s="1"/>
  <c r="I15" i="7"/>
  <c r="O15" i="7" s="1"/>
  <c r="G15" i="7"/>
  <c r="F15" i="7"/>
  <c r="J14" i="7"/>
  <c r="Q14" i="7" s="1"/>
  <c r="I14" i="7"/>
  <c r="O14" i="7" s="1"/>
  <c r="G14" i="7"/>
  <c r="F14" i="7"/>
  <c r="J13" i="7"/>
  <c r="Q13" i="7" s="1"/>
  <c r="I13" i="7"/>
  <c r="O13" i="7" s="1"/>
  <c r="G13" i="7"/>
  <c r="F13" i="7"/>
  <c r="J12" i="7"/>
  <c r="Q12" i="7" s="1"/>
  <c r="I12" i="7"/>
  <c r="O12" i="7" s="1"/>
  <c r="G12" i="7"/>
  <c r="F12" i="7"/>
  <c r="P11" i="7"/>
  <c r="M11" i="7" s="1"/>
  <c r="J11" i="7"/>
  <c r="Q11" i="7" s="1"/>
  <c r="I11" i="7"/>
  <c r="O11" i="7" s="1"/>
  <c r="G11" i="7"/>
  <c r="F11" i="7"/>
  <c r="J10" i="7"/>
  <c r="Q10" i="7" s="1"/>
  <c r="I10" i="7"/>
  <c r="O10" i="7" s="1"/>
  <c r="G10" i="7"/>
  <c r="F10" i="7"/>
  <c r="J9" i="7"/>
  <c r="Q9" i="7" s="1"/>
  <c r="I9" i="7"/>
  <c r="O9" i="7" s="1"/>
  <c r="G9" i="7"/>
  <c r="F9" i="7"/>
  <c r="J8" i="7"/>
  <c r="Q8" i="7" s="1"/>
  <c r="I8" i="7"/>
  <c r="O8" i="7" s="1"/>
  <c r="G8" i="7"/>
  <c r="F8" i="7"/>
  <c r="P7" i="7"/>
  <c r="M7" i="7" s="1"/>
  <c r="J7" i="7"/>
  <c r="Q7" i="7" s="1"/>
  <c r="I7" i="7"/>
  <c r="O7" i="7" s="1"/>
  <c r="G7" i="7"/>
  <c r="F7" i="7"/>
  <c r="J6" i="7"/>
  <c r="Q6" i="7" s="1"/>
  <c r="I6" i="7"/>
  <c r="O6" i="7" s="1"/>
  <c r="G6" i="7"/>
  <c r="F6" i="7"/>
  <c r="J5" i="7"/>
  <c r="Q5" i="7" s="1"/>
  <c r="I5" i="7"/>
  <c r="O5" i="7" s="1"/>
  <c r="G5" i="7"/>
  <c r="F5" i="7"/>
  <c r="J4" i="7"/>
  <c r="Q4" i="7" s="1"/>
  <c r="I4" i="7"/>
  <c r="O4" i="7" s="1"/>
  <c r="G4" i="7"/>
  <c r="F4" i="7"/>
  <c r="J3" i="7"/>
  <c r="Q3" i="7" s="1"/>
  <c r="I3" i="7"/>
  <c r="O3" i="7" s="1"/>
  <c r="G3" i="7"/>
  <c r="F3" i="7"/>
  <c r="J2" i="7"/>
  <c r="Q2" i="7" s="1"/>
  <c r="I2" i="7"/>
  <c r="O2" i="7" s="1"/>
  <c r="G2" i="7"/>
  <c r="F2" i="7"/>
  <c r="C45" i="6"/>
  <c r="C44" i="6"/>
  <c r="C43" i="6"/>
  <c r="C42" i="6"/>
  <c r="C41" i="6"/>
  <c r="C40" i="6"/>
  <c r="P3" i="7" l="1"/>
  <c r="M3" i="7" s="1"/>
  <c r="P5" i="7"/>
  <c r="P13" i="7"/>
  <c r="M13" i="7" s="1"/>
  <c r="P9" i="7"/>
  <c r="M5" i="7"/>
  <c r="M9" i="7"/>
  <c r="M17" i="7"/>
  <c r="P2" i="7"/>
  <c r="M2" i="7" s="1"/>
  <c r="N3" i="7"/>
  <c r="L3" i="7" s="1"/>
  <c r="P4" i="7"/>
  <c r="M4" i="7" s="1"/>
  <c r="N5" i="7"/>
  <c r="L5" i="7" s="1"/>
  <c r="P6" i="7"/>
  <c r="M6" i="7" s="1"/>
  <c r="N7" i="7"/>
  <c r="L7" i="7" s="1"/>
  <c r="P8" i="7"/>
  <c r="M8" i="7" s="1"/>
  <c r="N9" i="7"/>
  <c r="L9" i="7" s="1"/>
  <c r="P10" i="7"/>
  <c r="M10" i="7" s="1"/>
  <c r="N11" i="7"/>
  <c r="L11" i="7" s="1"/>
  <c r="P12" i="7"/>
  <c r="M12" i="7" s="1"/>
  <c r="N13" i="7"/>
  <c r="L13" i="7" s="1"/>
  <c r="P14" i="7"/>
  <c r="M14" i="7" s="1"/>
  <c r="N15" i="7"/>
  <c r="L15" i="7" s="1"/>
  <c r="P16" i="7"/>
  <c r="M16" i="7" s="1"/>
  <c r="N17" i="7"/>
  <c r="L17" i="7" s="1"/>
  <c r="P18" i="7"/>
  <c r="M18" i="7" s="1"/>
  <c r="N19" i="7"/>
  <c r="L19" i="7" s="1"/>
  <c r="N4" i="7"/>
  <c r="L4" i="7" s="1"/>
  <c r="N6" i="7"/>
  <c r="L6" i="7" s="1"/>
  <c r="N8" i="7"/>
  <c r="L8" i="7" s="1"/>
  <c r="N10" i="7"/>
  <c r="L10" i="7" s="1"/>
  <c r="N12" i="7"/>
  <c r="L12" i="7" s="1"/>
  <c r="N14" i="7"/>
  <c r="L14" i="7" s="1"/>
  <c r="N16" i="7"/>
  <c r="L16" i="7" s="1"/>
  <c r="N18" i="7"/>
  <c r="L18" i="7" s="1"/>
  <c r="N2" i="7"/>
  <c r="L2" i="7" s="1"/>
  <c r="C39" i="6"/>
  <c r="C38" i="6"/>
  <c r="C37" i="6"/>
  <c r="C36" i="6"/>
  <c r="C35" i="6"/>
  <c r="C34" i="6"/>
  <c r="C33" i="6"/>
  <c r="C32" i="6"/>
  <c r="I11" i="1"/>
  <c r="I9" i="4"/>
  <c r="G9" i="4"/>
  <c r="J10" i="4"/>
  <c r="J11" i="4"/>
  <c r="J12" i="4"/>
  <c r="J13" i="4"/>
  <c r="J14" i="4"/>
  <c r="J15" i="4"/>
  <c r="J16" i="4"/>
  <c r="J17" i="4"/>
  <c r="J18" i="4"/>
  <c r="I1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Q3" i="2"/>
  <c r="P3" i="2"/>
  <c r="O3" i="2"/>
  <c r="N3" i="2"/>
  <c r="C31" i="6"/>
  <c r="C30" i="6"/>
  <c r="C28" i="6" l="1"/>
  <c r="C29" i="6"/>
  <c r="J39" i="1"/>
  <c r="J40" i="1"/>
  <c r="J41" i="1"/>
  <c r="J42" i="1"/>
  <c r="J38" i="1"/>
  <c r="J43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I15" i="1" s="1"/>
  <c r="J16" i="1"/>
  <c r="I16" i="1" s="1"/>
  <c r="J17" i="1"/>
  <c r="I17" i="1" s="1"/>
  <c r="J18" i="1"/>
  <c r="I18" i="1" s="1"/>
  <c r="I3" i="1"/>
  <c r="I4" i="1"/>
  <c r="I5" i="1"/>
  <c r="I6" i="1"/>
  <c r="I7" i="1"/>
  <c r="I8" i="1"/>
  <c r="I9" i="1"/>
  <c r="I10" i="1"/>
  <c r="I12" i="1"/>
  <c r="I13" i="1"/>
  <c r="I14" i="1"/>
  <c r="C27" i="6"/>
  <c r="C26" i="6"/>
  <c r="Q19" i="6"/>
  <c r="P19" i="6"/>
  <c r="M19" i="6"/>
  <c r="J19" i="6"/>
  <c r="I19" i="6"/>
  <c r="O19" i="6" s="1"/>
  <c r="G19" i="6"/>
  <c r="F19" i="6"/>
  <c r="O18" i="6"/>
  <c r="J18" i="6"/>
  <c r="Q18" i="6" s="1"/>
  <c r="I18" i="6"/>
  <c r="N18" i="6" s="1"/>
  <c r="L18" i="6" s="1"/>
  <c r="G18" i="6"/>
  <c r="F18" i="6"/>
  <c r="Q17" i="6"/>
  <c r="P17" i="6"/>
  <c r="M17" i="6"/>
  <c r="J17" i="6"/>
  <c r="I17" i="6"/>
  <c r="O17" i="6" s="1"/>
  <c r="G17" i="6"/>
  <c r="F17" i="6"/>
  <c r="J16" i="6"/>
  <c r="Q16" i="6" s="1"/>
  <c r="I16" i="6"/>
  <c r="N16" i="6" s="1"/>
  <c r="G16" i="6"/>
  <c r="F16" i="6"/>
  <c r="J15" i="6"/>
  <c r="Q15" i="6" s="1"/>
  <c r="I15" i="6"/>
  <c r="O15" i="6" s="1"/>
  <c r="G15" i="6"/>
  <c r="F15" i="6"/>
  <c r="J14" i="6"/>
  <c r="Q14" i="6" s="1"/>
  <c r="I14" i="6"/>
  <c r="N14" i="6" s="1"/>
  <c r="G14" i="6"/>
  <c r="F14" i="6"/>
  <c r="J13" i="6"/>
  <c r="P13" i="6" s="1"/>
  <c r="I13" i="6"/>
  <c r="O13" i="6" s="1"/>
  <c r="G13" i="6"/>
  <c r="F13" i="6"/>
  <c r="J12" i="6"/>
  <c r="Q12" i="6" s="1"/>
  <c r="I12" i="6"/>
  <c r="N12" i="6" s="1"/>
  <c r="G12" i="6"/>
  <c r="F12" i="6"/>
  <c r="J11" i="6"/>
  <c r="Q11" i="6" s="1"/>
  <c r="I11" i="6"/>
  <c r="O11" i="6" s="1"/>
  <c r="G11" i="6"/>
  <c r="F11" i="6"/>
  <c r="O10" i="6"/>
  <c r="J10" i="6"/>
  <c r="Q10" i="6" s="1"/>
  <c r="I10" i="6"/>
  <c r="N10" i="6" s="1"/>
  <c r="L10" i="6" s="1"/>
  <c r="G10" i="6"/>
  <c r="F10" i="6"/>
  <c r="Q9" i="6"/>
  <c r="P9" i="6"/>
  <c r="M9" i="6"/>
  <c r="J9" i="6"/>
  <c r="I9" i="6"/>
  <c r="O9" i="6" s="1"/>
  <c r="G9" i="6"/>
  <c r="F9" i="6"/>
  <c r="J8" i="6"/>
  <c r="Q8" i="6" s="1"/>
  <c r="I8" i="6"/>
  <c r="N8" i="6" s="1"/>
  <c r="G8" i="6"/>
  <c r="F8" i="6"/>
  <c r="Q7" i="6"/>
  <c r="P7" i="6"/>
  <c r="M7" i="6"/>
  <c r="J7" i="6"/>
  <c r="I7" i="6"/>
  <c r="O7" i="6" s="1"/>
  <c r="G7" i="6"/>
  <c r="F7" i="6"/>
  <c r="J6" i="6"/>
  <c r="Q6" i="6" s="1"/>
  <c r="I6" i="6"/>
  <c r="N6" i="6" s="1"/>
  <c r="G6" i="6"/>
  <c r="F6" i="6"/>
  <c r="Q5" i="6"/>
  <c r="P5" i="6"/>
  <c r="M5" i="6"/>
  <c r="J5" i="6"/>
  <c r="I5" i="6"/>
  <c r="O5" i="6" s="1"/>
  <c r="G5" i="6"/>
  <c r="F5" i="6"/>
  <c r="J4" i="6"/>
  <c r="Q4" i="6" s="1"/>
  <c r="I4" i="6"/>
  <c r="N4" i="6" s="1"/>
  <c r="G4" i="6"/>
  <c r="F4" i="6"/>
  <c r="J3" i="6"/>
  <c r="Q3" i="6" s="1"/>
  <c r="I3" i="6"/>
  <c r="O3" i="6" s="1"/>
  <c r="G3" i="6"/>
  <c r="F3" i="6"/>
  <c r="J2" i="6"/>
  <c r="Q2" i="6" s="1"/>
  <c r="I2" i="6"/>
  <c r="N2" i="6" s="1"/>
  <c r="G2" i="6"/>
  <c r="F2" i="6"/>
  <c r="J19" i="5"/>
  <c r="Q19" i="5" s="1"/>
  <c r="I19" i="5"/>
  <c r="O19" i="5" s="1"/>
  <c r="G19" i="5"/>
  <c r="F19" i="5"/>
  <c r="Q18" i="5"/>
  <c r="P18" i="5"/>
  <c r="O18" i="5"/>
  <c r="M18" i="5"/>
  <c r="J18" i="5"/>
  <c r="I18" i="5"/>
  <c r="N18" i="5" s="1"/>
  <c r="L18" i="5" s="1"/>
  <c r="G18" i="5"/>
  <c r="F18" i="5"/>
  <c r="O17" i="5"/>
  <c r="J17" i="5"/>
  <c r="Q17" i="5" s="1"/>
  <c r="I17" i="5"/>
  <c r="N17" i="5" s="1"/>
  <c r="L17" i="5" s="1"/>
  <c r="G17" i="5"/>
  <c r="F17" i="5"/>
  <c r="Q16" i="5"/>
  <c r="P16" i="5"/>
  <c r="O16" i="5"/>
  <c r="M16" i="5"/>
  <c r="J16" i="5"/>
  <c r="I16" i="5"/>
  <c r="N16" i="5" s="1"/>
  <c r="L16" i="5" s="1"/>
  <c r="G16" i="5"/>
  <c r="F16" i="5"/>
  <c r="O15" i="5"/>
  <c r="J15" i="5"/>
  <c r="Q15" i="5" s="1"/>
  <c r="I15" i="5"/>
  <c r="N15" i="5" s="1"/>
  <c r="L15" i="5" s="1"/>
  <c r="G15" i="5"/>
  <c r="F15" i="5"/>
  <c r="J14" i="5"/>
  <c r="P14" i="5" s="1"/>
  <c r="I14" i="5"/>
  <c r="N14" i="5" s="1"/>
  <c r="G14" i="5"/>
  <c r="F14" i="5"/>
  <c r="J13" i="5"/>
  <c r="Q13" i="5" s="1"/>
  <c r="I13" i="5"/>
  <c r="N13" i="5" s="1"/>
  <c r="G13" i="5"/>
  <c r="F13" i="5"/>
  <c r="Q12" i="5"/>
  <c r="P12" i="5"/>
  <c r="O12" i="5"/>
  <c r="M12" i="5"/>
  <c r="J12" i="5"/>
  <c r="I12" i="5"/>
  <c r="N12" i="5" s="1"/>
  <c r="L12" i="5" s="1"/>
  <c r="G12" i="5"/>
  <c r="F12" i="5"/>
  <c r="O11" i="5"/>
  <c r="J11" i="5"/>
  <c r="Q11" i="5" s="1"/>
  <c r="I11" i="5"/>
  <c r="N11" i="5" s="1"/>
  <c r="L11" i="5" s="1"/>
  <c r="G11" i="5"/>
  <c r="F11" i="5"/>
  <c r="Q10" i="5"/>
  <c r="P10" i="5"/>
  <c r="O10" i="5"/>
  <c r="M10" i="5"/>
  <c r="J10" i="5"/>
  <c r="I10" i="5"/>
  <c r="N10" i="5" s="1"/>
  <c r="L10" i="5" s="1"/>
  <c r="G10" i="5"/>
  <c r="F10" i="5"/>
  <c r="O9" i="5"/>
  <c r="J9" i="5"/>
  <c r="Q9" i="5" s="1"/>
  <c r="I9" i="5"/>
  <c r="N9" i="5" s="1"/>
  <c r="L9" i="5" s="1"/>
  <c r="G9" i="5"/>
  <c r="F9" i="5"/>
  <c r="Q8" i="5"/>
  <c r="P8" i="5"/>
  <c r="O8" i="5"/>
  <c r="M8" i="5"/>
  <c r="J8" i="5"/>
  <c r="I8" i="5"/>
  <c r="N8" i="5" s="1"/>
  <c r="L8" i="5" s="1"/>
  <c r="G8" i="5"/>
  <c r="F8" i="5"/>
  <c r="O7" i="5"/>
  <c r="J7" i="5"/>
  <c r="Q7" i="5" s="1"/>
  <c r="I7" i="5"/>
  <c r="N7" i="5" s="1"/>
  <c r="L7" i="5" s="1"/>
  <c r="G7" i="5"/>
  <c r="F7" i="5"/>
  <c r="Q6" i="5"/>
  <c r="P6" i="5"/>
  <c r="O6" i="5"/>
  <c r="M6" i="5"/>
  <c r="J6" i="5"/>
  <c r="I6" i="5"/>
  <c r="N6" i="5" s="1"/>
  <c r="L6" i="5" s="1"/>
  <c r="G6" i="5"/>
  <c r="F6" i="5"/>
  <c r="O5" i="5"/>
  <c r="J5" i="5"/>
  <c r="Q5" i="5" s="1"/>
  <c r="I5" i="5"/>
  <c r="N5" i="5" s="1"/>
  <c r="L5" i="5" s="1"/>
  <c r="G5" i="5"/>
  <c r="F5" i="5"/>
  <c r="J4" i="5"/>
  <c r="Q4" i="5" s="1"/>
  <c r="I4" i="5"/>
  <c r="N4" i="5" s="1"/>
  <c r="G4" i="5"/>
  <c r="F4" i="5"/>
  <c r="J3" i="5"/>
  <c r="Q3" i="5" s="1"/>
  <c r="I3" i="5"/>
  <c r="N3" i="5" s="1"/>
  <c r="G3" i="5"/>
  <c r="F3" i="5"/>
  <c r="J2" i="5"/>
  <c r="Q2" i="5" s="1"/>
  <c r="I2" i="5"/>
  <c r="N2" i="5" s="1"/>
  <c r="G2" i="5"/>
  <c r="F2" i="5"/>
  <c r="P3" i="6" l="1"/>
  <c r="M3" i="6" s="1"/>
  <c r="O16" i="6"/>
  <c r="L16" i="6" s="1"/>
  <c r="P15" i="6"/>
  <c r="M15" i="6" s="1"/>
  <c r="Q13" i="6"/>
  <c r="O14" i="6"/>
  <c r="L14" i="6" s="1"/>
  <c r="O14" i="5"/>
  <c r="L14" i="5" s="1"/>
  <c r="Q14" i="5"/>
  <c r="M14" i="5" s="1"/>
  <c r="M13" i="6"/>
  <c r="P11" i="6"/>
  <c r="M11" i="6" s="1"/>
  <c r="O12" i="6"/>
  <c r="L12" i="6" s="1"/>
  <c r="O2" i="6"/>
  <c r="O4" i="6"/>
  <c r="O6" i="6"/>
  <c r="O8" i="6"/>
  <c r="L2" i="6"/>
  <c r="L4" i="6"/>
  <c r="L6" i="6"/>
  <c r="L8" i="6"/>
  <c r="P4" i="6"/>
  <c r="M4" i="6" s="1"/>
  <c r="P6" i="6"/>
  <c r="M6" i="6" s="1"/>
  <c r="N7" i="6"/>
  <c r="L7" i="6" s="1"/>
  <c r="P8" i="6"/>
  <c r="M8" i="6" s="1"/>
  <c r="N9" i="6"/>
  <c r="L9" i="6" s="1"/>
  <c r="P10" i="6"/>
  <c r="M10" i="6" s="1"/>
  <c r="N11" i="6"/>
  <c r="L11" i="6" s="1"/>
  <c r="P12" i="6"/>
  <c r="M12" i="6" s="1"/>
  <c r="N13" i="6"/>
  <c r="L13" i="6" s="1"/>
  <c r="P14" i="6"/>
  <c r="M14" i="6" s="1"/>
  <c r="N15" i="6"/>
  <c r="L15" i="6" s="1"/>
  <c r="P16" i="6"/>
  <c r="M16" i="6" s="1"/>
  <c r="N17" i="6"/>
  <c r="L17" i="6" s="1"/>
  <c r="P18" i="6"/>
  <c r="M18" i="6" s="1"/>
  <c r="N19" i="6"/>
  <c r="L19" i="6" s="1"/>
  <c r="P2" i="6"/>
  <c r="M2" i="6" s="1"/>
  <c r="N3" i="6"/>
  <c r="L3" i="6" s="1"/>
  <c r="N5" i="6"/>
  <c r="L5" i="6" s="1"/>
  <c r="O4" i="5"/>
  <c r="L4" i="5" s="1"/>
  <c r="P4" i="5"/>
  <c r="M4" i="5" s="1"/>
  <c r="O3" i="5"/>
  <c r="L3" i="5" s="1"/>
  <c r="P2" i="5"/>
  <c r="M2" i="5" s="1"/>
  <c r="O2" i="5"/>
  <c r="L2" i="5" s="1"/>
  <c r="O13" i="5"/>
  <c r="L13" i="5" s="1"/>
  <c r="N19" i="5"/>
  <c r="L19" i="5" s="1"/>
  <c r="P3" i="5"/>
  <c r="M3" i="5" s="1"/>
  <c r="P5" i="5"/>
  <c r="M5" i="5" s="1"/>
  <c r="P7" i="5"/>
  <c r="M7" i="5" s="1"/>
  <c r="P9" i="5"/>
  <c r="M9" i="5" s="1"/>
  <c r="P11" i="5"/>
  <c r="M11" i="5" s="1"/>
  <c r="P13" i="5"/>
  <c r="M13" i="5" s="1"/>
  <c r="P15" i="5"/>
  <c r="M15" i="5" s="1"/>
  <c r="P17" i="5"/>
  <c r="M17" i="5" s="1"/>
  <c r="P19" i="5"/>
  <c r="M19" i="5" s="1"/>
  <c r="R18" i="4" l="1"/>
  <c r="P18" i="4"/>
  <c r="G18" i="4"/>
  <c r="Q17" i="4"/>
  <c r="P17" i="4"/>
  <c r="G17" i="4"/>
  <c r="R16" i="4"/>
  <c r="O16" i="4"/>
  <c r="G16" i="4"/>
  <c r="Q15" i="4"/>
  <c r="P15" i="4"/>
  <c r="G15" i="4"/>
  <c r="Q14" i="4"/>
  <c r="R14" i="4"/>
  <c r="O14" i="4"/>
  <c r="G14" i="4"/>
  <c r="R13" i="4"/>
  <c r="O13" i="4"/>
  <c r="G13" i="4"/>
  <c r="R12" i="4"/>
  <c r="O12" i="4"/>
  <c r="G12" i="4"/>
  <c r="R11" i="4"/>
  <c r="O11" i="4"/>
  <c r="G11" i="4"/>
  <c r="R10" i="4"/>
  <c r="O10" i="4"/>
  <c r="G10" i="4"/>
  <c r="R9" i="4"/>
  <c r="J9" i="4"/>
  <c r="O9" i="4" s="1"/>
  <c r="R8" i="4"/>
  <c r="J8" i="4"/>
  <c r="P8" i="4" s="1"/>
  <c r="G8" i="4"/>
  <c r="R7" i="4"/>
  <c r="J7" i="4"/>
  <c r="O7" i="4" s="1"/>
  <c r="G7" i="4"/>
  <c r="R6" i="4"/>
  <c r="J6" i="4"/>
  <c r="O6" i="4" s="1"/>
  <c r="G6" i="4"/>
  <c r="R5" i="4"/>
  <c r="Q5" i="4"/>
  <c r="J5" i="4"/>
  <c r="O5" i="4" s="1"/>
  <c r="G5" i="4"/>
  <c r="Q4" i="4"/>
  <c r="N4" i="4" s="1"/>
  <c r="R4" i="4"/>
  <c r="J4" i="4"/>
  <c r="P4" i="4" s="1"/>
  <c r="G4" i="4"/>
  <c r="R3" i="4"/>
  <c r="J3" i="4"/>
  <c r="O3" i="4" s="1"/>
  <c r="G3" i="4"/>
  <c r="K2" i="4"/>
  <c r="R2" i="4" s="1"/>
  <c r="J2" i="4"/>
  <c r="I2" i="4" s="1"/>
  <c r="G2" i="4"/>
  <c r="I3" i="4" l="1"/>
  <c r="N14" i="4"/>
  <c r="Q6" i="4"/>
  <c r="N5" i="4"/>
  <c r="P14" i="4"/>
  <c r="M14" i="4" s="1"/>
  <c r="Q16" i="4"/>
  <c r="N16" i="4" s="1"/>
  <c r="P13" i="4"/>
  <c r="M13" i="4" s="1"/>
  <c r="P11" i="4"/>
  <c r="M11" i="4" s="1"/>
  <c r="P12" i="4"/>
  <c r="M12" i="4" s="1"/>
  <c r="P5" i="4"/>
  <c r="P3" i="4"/>
  <c r="I5" i="4"/>
  <c r="Q8" i="4"/>
  <c r="N8" i="4" s="1"/>
  <c r="Q10" i="4"/>
  <c r="N10" i="4" s="1"/>
  <c r="N6" i="4"/>
  <c r="I10" i="4"/>
  <c r="M5" i="4"/>
  <c r="Q2" i="4"/>
  <c r="N2" i="4" s="1"/>
  <c r="M3" i="4"/>
  <c r="P9" i="4"/>
  <c r="M9" i="4" s="1"/>
  <c r="P7" i="4"/>
  <c r="M7" i="4" s="1"/>
  <c r="R15" i="4"/>
  <c r="N15" i="4" s="1"/>
  <c r="P16" i="4"/>
  <c r="M16" i="4"/>
  <c r="R17" i="4"/>
  <c r="N17" i="4" s="1"/>
  <c r="O2" i="4"/>
  <c r="P2" i="4"/>
  <c r="Q3" i="4"/>
  <c r="N3" i="4" s="1"/>
  <c r="I4" i="4"/>
  <c r="P6" i="4"/>
  <c r="M6" i="4" s="1"/>
  <c r="Q7" i="4"/>
  <c r="N7" i="4" s="1"/>
  <c r="I8" i="4"/>
  <c r="P10" i="4"/>
  <c r="M10" i="4" s="1"/>
  <c r="Q11" i="4"/>
  <c r="N11" i="4" s="1"/>
  <c r="Q13" i="4"/>
  <c r="N13" i="4" s="1"/>
  <c r="O18" i="4"/>
  <c r="M18" i="4" s="1"/>
  <c r="I7" i="4"/>
  <c r="O8" i="4"/>
  <c r="M8" i="4" s="1"/>
  <c r="I11" i="4"/>
  <c r="O4" i="4"/>
  <c r="M4" i="4" s="1"/>
  <c r="I6" i="4"/>
  <c r="Q9" i="4"/>
  <c r="N9" i="4" s="1"/>
  <c r="Q12" i="4"/>
  <c r="N12" i="4" s="1"/>
  <c r="O15" i="4"/>
  <c r="M15" i="4" s="1"/>
  <c r="O17" i="4"/>
  <c r="M17" i="4" s="1"/>
  <c r="Q18" i="4"/>
  <c r="N18" i="4" s="1"/>
  <c r="M2" i="4" l="1"/>
  <c r="J19" i="2" l="1"/>
  <c r="M19" i="2" s="1"/>
  <c r="I19" i="2"/>
  <c r="G19" i="2"/>
  <c r="F19" i="2"/>
  <c r="J18" i="2"/>
  <c r="I18" i="2"/>
  <c r="G18" i="2"/>
  <c r="F18" i="2"/>
  <c r="J17" i="2"/>
  <c r="M17" i="2" s="1"/>
  <c r="I17" i="2"/>
  <c r="G17" i="2"/>
  <c r="F17" i="2"/>
  <c r="J16" i="2"/>
  <c r="I16" i="2"/>
  <c r="G16" i="2"/>
  <c r="F16" i="2"/>
  <c r="J15" i="2"/>
  <c r="I15" i="2"/>
  <c r="G15" i="2"/>
  <c r="F15" i="2"/>
  <c r="J14" i="2"/>
  <c r="I14" i="2"/>
  <c r="G14" i="2"/>
  <c r="F14" i="2"/>
  <c r="J13" i="2"/>
  <c r="G13" i="2"/>
  <c r="F13" i="2"/>
  <c r="J12" i="2"/>
  <c r="M12" i="2" s="1"/>
  <c r="I12" i="2"/>
  <c r="G12" i="2"/>
  <c r="F12" i="2"/>
  <c r="M11" i="2"/>
  <c r="J11" i="2"/>
  <c r="I11" i="2"/>
  <c r="G11" i="2"/>
  <c r="F11" i="2"/>
  <c r="J10" i="2"/>
  <c r="I10" i="2"/>
  <c r="G10" i="2"/>
  <c r="F10" i="2"/>
  <c r="J9" i="2"/>
  <c r="M9" i="2" s="1"/>
  <c r="I9" i="2"/>
  <c r="L9" i="2" s="1"/>
  <c r="G9" i="2"/>
  <c r="F9" i="2"/>
  <c r="J8" i="2"/>
  <c r="M8" i="2" s="1"/>
  <c r="I8" i="2"/>
  <c r="G8" i="2"/>
  <c r="F8" i="2"/>
  <c r="J7" i="2"/>
  <c r="I7" i="2"/>
  <c r="G7" i="2"/>
  <c r="F7" i="2"/>
  <c r="J6" i="2"/>
  <c r="I6" i="2"/>
  <c r="G6" i="2"/>
  <c r="F6" i="2"/>
  <c r="M5" i="2"/>
  <c r="L5" i="2"/>
  <c r="J5" i="2"/>
  <c r="I5" i="2"/>
  <c r="G5" i="2"/>
  <c r="F5" i="2"/>
  <c r="J4" i="2"/>
  <c r="I4" i="2"/>
  <c r="G4" i="2"/>
  <c r="F4" i="2"/>
  <c r="M3" i="2"/>
  <c r="J3" i="2"/>
  <c r="I3" i="2"/>
  <c r="G3" i="2"/>
  <c r="F3" i="2"/>
  <c r="J2" i="2"/>
  <c r="I2" i="2"/>
  <c r="G2" i="2"/>
  <c r="F2" i="2"/>
  <c r="P2" i="2" l="1"/>
  <c r="Q2" i="2"/>
  <c r="O2" i="2"/>
  <c r="N2" i="2"/>
  <c r="P15" i="2"/>
  <c r="Q15" i="2"/>
  <c r="M15" i="2" s="1"/>
  <c r="O15" i="2"/>
  <c r="N15" i="2"/>
  <c r="N14" i="2"/>
  <c r="L14" i="2" s="1"/>
  <c r="O14" i="2"/>
  <c r="P14" i="2"/>
  <c r="M14" i="2" s="1"/>
  <c r="Q14" i="2"/>
  <c r="P13" i="2"/>
  <c r="Q13" i="2"/>
  <c r="O13" i="2"/>
  <c r="N13" i="2"/>
  <c r="M7" i="2"/>
  <c r="M10" i="2"/>
  <c r="L11" i="2"/>
  <c r="L12" i="2"/>
  <c r="L6" i="2"/>
  <c r="L7" i="2"/>
  <c r="L10" i="2"/>
  <c r="L8" i="2"/>
  <c r="M6" i="2"/>
  <c r="L18" i="2"/>
  <c r="L15" i="2"/>
  <c r="M16" i="2"/>
  <c r="L19" i="2"/>
  <c r="M18" i="2"/>
  <c r="L16" i="2"/>
  <c r="L13" i="2"/>
  <c r="L17" i="2"/>
  <c r="M4" i="2"/>
  <c r="L3" i="2"/>
  <c r="L4" i="2"/>
  <c r="Q14" i="1"/>
  <c r="P14" i="1"/>
  <c r="L2" i="2" l="1"/>
  <c r="M2" i="2" s="1"/>
  <c r="M13" i="2"/>
  <c r="R14" i="1"/>
  <c r="N14" i="1" s="1"/>
  <c r="O14" i="1"/>
  <c r="M14" i="1" s="1"/>
  <c r="R18" i="1"/>
  <c r="P18" i="1"/>
  <c r="Q17" i="1"/>
  <c r="O17" i="1"/>
  <c r="R16" i="1"/>
  <c r="O16" i="1"/>
  <c r="O18" i="1" l="1"/>
  <c r="M18" i="1" s="1"/>
  <c r="Q18" i="1"/>
  <c r="N18" i="1" s="1"/>
  <c r="P17" i="1"/>
  <c r="M17" i="1" s="1"/>
  <c r="P16" i="1"/>
  <c r="M16" i="1" s="1"/>
  <c r="R17" i="1"/>
  <c r="N17" i="1" s="1"/>
  <c r="Q16" i="1"/>
  <c r="N16" i="1" s="1"/>
  <c r="Q11" i="1" l="1"/>
  <c r="Q10" i="1"/>
  <c r="R2" i="1"/>
  <c r="Q2" i="1"/>
  <c r="Q3" i="1"/>
  <c r="Q4" i="1"/>
  <c r="R5" i="1"/>
  <c r="Q6" i="1"/>
  <c r="Q7" i="1"/>
  <c r="R8" i="1"/>
  <c r="Q9" i="1"/>
  <c r="R12" i="1"/>
  <c r="Q13" i="1"/>
  <c r="Q15" i="1"/>
  <c r="P12" i="1"/>
  <c r="O13" i="1"/>
  <c r="O15" i="1"/>
  <c r="G2" i="1"/>
  <c r="J2" i="1"/>
  <c r="O5" i="1" l="1"/>
  <c r="O4" i="1"/>
  <c r="P3" i="1"/>
  <c r="O2" i="1"/>
  <c r="I2" i="1"/>
  <c r="N2" i="1"/>
  <c r="O11" i="1"/>
  <c r="O7" i="1"/>
  <c r="P10" i="1"/>
  <c r="O9" i="1"/>
  <c r="P8" i="1"/>
  <c r="O6" i="1"/>
  <c r="P2" i="1"/>
  <c r="R15" i="1"/>
  <c r="N15" i="1" s="1"/>
  <c r="P6" i="1"/>
  <c r="R11" i="1"/>
  <c r="N11" i="1" s="1"/>
  <c r="P9" i="1"/>
  <c r="R7" i="1"/>
  <c r="N7" i="1" s="1"/>
  <c r="R4" i="1"/>
  <c r="N4" i="1" s="1"/>
  <c r="P11" i="1"/>
  <c r="P4" i="1"/>
  <c r="R9" i="1"/>
  <c r="N9" i="1" s="1"/>
  <c r="P15" i="1"/>
  <c r="M15" i="1" s="1"/>
  <c r="P7" i="1"/>
  <c r="R13" i="1"/>
  <c r="N13" i="1" s="1"/>
  <c r="R6" i="1"/>
  <c r="N6" i="1" s="1"/>
  <c r="P13" i="1"/>
  <c r="M13" i="1" s="1"/>
  <c r="O12" i="1"/>
  <c r="M12" i="1" s="1"/>
  <c r="O8" i="1"/>
  <c r="M8" i="1" s="1"/>
  <c r="P5" i="1"/>
  <c r="R10" i="1"/>
  <c r="N10" i="1" s="1"/>
  <c r="Q12" i="1"/>
  <c r="N12" i="1" s="1"/>
  <c r="O10" i="1"/>
  <c r="Q8" i="1"/>
  <c r="N8" i="1" s="1"/>
  <c r="Q5" i="1"/>
  <c r="N5" i="1" s="1"/>
  <c r="R3" i="1"/>
  <c r="N3" i="1" s="1"/>
  <c r="O3" i="1"/>
  <c r="M3" i="1" l="1"/>
  <c r="M4" i="1"/>
  <c r="M5" i="1"/>
  <c r="M2" i="1"/>
  <c r="M6" i="1"/>
  <c r="M11" i="1"/>
  <c r="M10" i="1"/>
  <c r="M7" i="1"/>
  <c r="M9" i="1"/>
</calcChain>
</file>

<file path=xl/sharedStrings.xml><?xml version="1.0" encoding="utf-8"?>
<sst xmlns="http://schemas.openxmlformats.org/spreadsheetml/2006/main" count="219" uniqueCount="76">
  <si>
    <t>Počet jednotek</t>
  </si>
  <si>
    <t>Dmg jednotky</t>
  </si>
  <si>
    <t>Útok jednotky</t>
  </si>
  <si>
    <t>Dmgc</t>
  </si>
  <si>
    <t>Menší útok</t>
  </si>
  <si>
    <t>Větší útok</t>
  </si>
  <si>
    <t>větší útok</t>
  </si>
  <si>
    <t>menší útok</t>
  </si>
  <si>
    <t>Předpokládaná obrana</t>
  </si>
  <si>
    <t>Obrana cíle</t>
  </si>
  <si>
    <t>obrana:</t>
  </si>
  <si>
    <t>utok:</t>
  </si>
  <si>
    <t>dmg:</t>
  </si>
  <si>
    <t xml:space="preserve">hodnota: </t>
  </si>
  <si>
    <t>zivoty:</t>
  </si>
  <si>
    <t>inic:</t>
  </si>
  <si>
    <t>demon jezde</t>
  </si>
  <si>
    <t>jezdec</t>
  </si>
  <si>
    <t>tezky jezdec</t>
  </si>
  <si>
    <t>knez</t>
  </si>
  <si>
    <t>pocitano s posilenim 100</t>
  </si>
  <si>
    <t>mágů</t>
  </si>
  <si>
    <t>vytvořená hodnota</t>
  </si>
  <si>
    <t>stec 50</t>
  </si>
  <si>
    <t>stec 100</t>
  </si>
  <si>
    <t>posileni 300%</t>
  </si>
  <si>
    <t>utoci od 3. kola</t>
  </si>
  <si>
    <t>KDYŽ(D2&gt;=C2;"ANO";"NE")</t>
  </si>
  <si>
    <t>200 x Démon Kněz Krvavého Měsíce</t>
  </si>
  <si>
    <t>200 x Démon Mág Krvavého Měsíce</t>
  </si>
  <si>
    <t>1,000 x Démon Jezdec</t>
  </si>
  <si>
    <t>500 x Démon Těžký Jezdec</t>
  </si>
  <si>
    <t>500 x Stínový obr</t>
  </si>
  <si>
    <t>obr</t>
  </si>
  <si>
    <t>mag</t>
  </si>
  <si>
    <t>45+</t>
  </si>
  <si>
    <t>1044 posileni</t>
  </si>
  <si>
    <t>utok</t>
  </si>
  <si>
    <t>dmg</t>
  </si>
  <si>
    <t>130+</t>
  </si>
  <si>
    <t>13+</t>
  </si>
  <si>
    <t>stec 225</t>
  </si>
  <si>
    <t>magu</t>
  </si>
  <si>
    <t>celkz</t>
  </si>
  <si>
    <t>bestií</t>
  </si>
  <si>
    <t>poměr</t>
  </si>
  <si>
    <t>arcimagu</t>
  </si>
  <si>
    <t>oharu</t>
  </si>
  <si>
    <t>vytvořená/životy</t>
  </si>
  <si>
    <t>stec</t>
  </si>
  <si>
    <t xml:space="preserve">stec </t>
  </si>
  <si>
    <t>100 x Démon Mág Krvavého Měsíce</t>
  </si>
  <si>
    <t>2,500 x Stínový jezdec</t>
  </si>
  <si>
    <t>5,000 x Stínový válečník</t>
  </si>
  <si>
    <t>200 x Stínový obr</t>
  </si>
  <si>
    <t>10,000 x Stínový mág</t>
  </si>
  <si>
    <t>Ověřené</t>
  </si>
  <si>
    <t>Mág krvavého měsíce</t>
  </si>
  <si>
    <t>Stínový jezdec</t>
  </si>
  <si>
    <t>demon jezdec</t>
  </si>
  <si>
    <t>demon tezky jezdec</t>
  </si>
  <si>
    <t xml:space="preserve">knez </t>
  </si>
  <si>
    <t>50 x Démon Mág Krvavého Měsíce</t>
  </si>
  <si>
    <t>300 x Démon Jezdec</t>
  </si>
  <si>
    <t>150 x Démon Těžký Jezdec</t>
  </si>
  <si>
    <t>3,000 x Stínový jezdec</t>
  </si>
  <si>
    <t>1,500 x Stínový Obrnený jezdec</t>
  </si>
  <si>
    <t>stinový obrneny jezdec</t>
  </si>
  <si>
    <t>stinový mág</t>
  </si>
  <si>
    <t>stin jezdec</t>
  </si>
  <si>
    <t>stin obr</t>
  </si>
  <si>
    <t>stin valecnik</t>
  </si>
  <si>
    <t>slayer</t>
  </si>
  <si>
    <t>6+</t>
  </si>
  <si>
    <t>10-</t>
  </si>
  <si>
    <t>o 1 vetsi nez stinovy 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</si>
</sst>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Verdana"/>
      <family val="2"/>
      <charset val="238"/>
    </font>
    <font>
      <b/>
      <sz val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9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A8" sqref="A8"/>
    </sheetView>
  </sheetViews>
  <sheetFormatPr defaultRowHeight="15" x14ac:dyDescent="0.25"/>
  <cols>
    <col min="2" max="2" width="15.140625" customWidth="1"/>
    <col min="3" max="3" width="12.140625" customWidth="1"/>
    <col min="4" max="4" width="12.7109375" customWidth="1"/>
    <col min="5" max="5" width="12.5703125" customWidth="1"/>
    <col min="6" max="6" width="21.140625" bestFit="1" customWidth="1"/>
    <col min="7" max="9" width="16.28515625" bestFit="1" customWidth="1"/>
    <col min="10" max="10" width="11.28515625" customWidth="1"/>
    <col min="13" max="13" width="13.140625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A2" s="2">
        <v>2</v>
      </c>
      <c r="B2" s="1">
        <v>376</v>
      </c>
      <c r="C2" s="1">
        <v>117613</v>
      </c>
      <c r="D2" s="1">
        <v>30</v>
      </c>
      <c r="E2" s="1">
        <v>230</v>
      </c>
      <c r="F2" s="1">
        <v>20</v>
      </c>
      <c r="G2">
        <f>(50*C2-50*B2*E2-D2*B2*E2)/(-1*B2*E2)</f>
        <v>11.999884366327475</v>
      </c>
      <c r="H2">
        <f>(25*C2-20*B2*E2-D2*B2*E2)/(-1*B2*E2)</f>
        <v>15.999942183163737</v>
      </c>
      <c r="I2">
        <f>C2/(J2/100)</f>
        <v>113.33352605612087</v>
      </c>
      <c r="J2">
        <f>B2*E2*(1+(D2-F2)/50)</f>
        <v>103776</v>
      </c>
      <c r="K2">
        <f>B2*E2*(1+(D2-F2)/25)</f>
        <v>121071.99999999999</v>
      </c>
      <c r="L2" t="s">
        <v>27</v>
      </c>
      <c r="M2" t="str">
        <f>IF((O2&lt;=C2),IF(P2&gt;=C2,"ANO","NE"),"NE")</f>
        <v>NE</v>
      </c>
      <c r="N2" t="str">
        <f>IF((Q2&lt;=C2),IF(R2&gt;=C2,"ANO","NE"),"NE")</f>
        <v>ANO</v>
      </c>
      <c r="O2">
        <f>J2*0.9</f>
        <v>93398.400000000009</v>
      </c>
      <c r="P2">
        <f>J2*1.1</f>
        <v>114153.60000000001</v>
      </c>
      <c r="Q2">
        <f>K2*0.9</f>
        <v>108964.79999999999</v>
      </c>
      <c r="R2">
        <f>K2*1.1</f>
        <v>133179.19999999998</v>
      </c>
    </row>
    <row r="3" spans="1:18" x14ac:dyDescent="0.25">
      <c r="A3" s="2">
        <v>2</v>
      </c>
      <c r="B3" s="1">
        <v>1</v>
      </c>
      <c r="C3" s="1">
        <v>19</v>
      </c>
      <c r="D3" s="1">
        <v>16</v>
      </c>
      <c r="E3" s="1">
        <v>22</v>
      </c>
      <c r="F3" s="1">
        <v>20</v>
      </c>
      <c r="G3">
        <f t="shared" ref="G3:G18" si="0">(50*C3-50*B3*E3-D3*B3*E3)/(-1*B3*E3)</f>
        <v>22.818181818181817</v>
      </c>
      <c r="H3">
        <f t="shared" ref="H3:H18" si="1">(25*C3-20*B3*E3-D3*B3*E3)/(-1*B3*E3)</f>
        <v>14.409090909090908</v>
      </c>
      <c r="I3">
        <f t="shared" ref="I3:I18" si="2">C3/(J3/100)</f>
        <v>93.873517786561251</v>
      </c>
      <c r="J3">
        <f t="shared" ref="J3:J18" si="3">B3*E3*(1+(D3-F3)/50)</f>
        <v>20.240000000000002</v>
      </c>
      <c r="K3">
        <f t="shared" ref="K3:K18" si="4">B3*E3*(1+(D3-F3)/25)</f>
        <v>18.48</v>
      </c>
      <c r="M3" t="str">
        <f t="shared" ref="M3:M10" si="5">IF((O3&lt;=C3),IF(P3&gt;=C3,"ANO","NE"),"NE")</f>
        <v>ANO</v>
      </c>
      <c r="N3" t="str">
        <f t="shared" ref="N3:N10" si="6">IF((Q3&lt;=C3),IF(R3&gt;=C3,"ANO","NE"),"NE")</f>
        <v>ANO</v>
      </c>
      <c r="O3">
        <f t="shared" ref="O3:O15" si="7">J3*0.9</f>
        <v>18.216000000000001</v>
      </c>
      <c r="P3">
        <f t="shared" ref="P3:P15" si="8">J3*1.1</f>
        <v>22.264000000000003</v>
      </c>
      <c r="Q3">
        <f t="shared" ref="Q3:Q15" si="9">K3*0.9</f>
        <v>16.632000000000001</v>
      </c>
      <c r="R3">
        <f t="shared" ref="R3:R15" si="10">K3*1.1</f>
        <v>20.328000000000003</v>
      </c>
    </row>
    <row r="4" spans="1:18" x14ac:dyDescent="0.25">
      <c r="A4" s="2">
        <v>2</v>
      </c>
      <c r="B4" s="1">
        <v>70</v>
      </c>
      <c r="C4" s="1">
        <v>7026</v>
      </c>
      <c r="D4" s="1">
        <v>12</v>
      </c>
      <c r="E4" s="1">
        <v>120</v>
      </c>
      <c r="F4" s="1">
        <v>20</v>
      </c>
      <c r="G4">
        <f t="shared" si="0"/>
        <v>20.178571428571427</v>
      </c>
      <c r="H4">
        <f t="shared" si="1"/>
        <v>11.089285714285714</v>
      </c>
      <c r="I4">
        <f t="shared" si="2"/>
        <v>99.574829931972786</v>
      </c>
      <c r="J4">
        <f t="shared" si="3"/>
        <v>7056</v>
      </c>
      <c r="K4">
        <f t="shared" si="4"/>
        <v>5711.9999999999991</v>
      </c>
      <c r="M4" t="str">
        <f t="shared" si="5"/>
        <v>ANO</v>
      </c>
      <c r="N4" t="str">
        <f t="shared" si="6"/>
        <v>NE</v>
      </c>
      <c r="O4">
        <f t="shared" si="7"/>
        <v>6350.4000000000005</v>
      </c>
      <c r="P4">
        <f t="shared" si="8"/>
        <v>7761.6</v>
      </c>
      <c r="Q4">
        <f t="shared" si="9"/>
        <v>5140.7999999999993</v>
      </c>
      <c r="R4">
        <f t="shared" si="10"/>
        <v>6283.2</v>
      </c>
    </row>
    <row r="5" spans="1:18" x14ac:dyDescent="0.25">
      <c r="A5" s="2">
        <v>2</v>
      </c>
      <c r="B5" s="1">
        <v>915</v>
      </c>
      <c r="C5" s="1">
        <v>126435</v>
      </c>
      <c r="D5" s="1">
        <v>18</v>
      </c>
      <c r="E5" s="1">
        <v>150</v>
      </c>
      <c r="F5" s="1">
        <v>20</v>
      </c>
      <c r="G5">
        <f t="shared" si="0"/>
        <v>21.939890710382514</v>
      </c>
      <c r="H5">
        <f t="shared" si="1"/>
        <v>14.969945355191257</v>
      </c>
      <c r="I5">
        <f t="shared" si="2"/>
        <v>95.958561020036441</v>
      </c>
      <c r="J5">
        <f t="shared" si="3"/>
        <v>131760</v>
      </c>
      <c r="K5">
        <f t="shared" si="4"/>
        <v>126270</v>
      </c>
      <c r="M5" t="str">
        <f t="shared" si="5"/>
        <v>ANO</v>
      </c>
      <c r="N5" t="str">
        <f t="shared" si="6"/>
        <v>ANO</v>
      </c>
      <c r="O5">
        <f t="shared" si="7"/>
        <v>118584</v>
      </c>
      <c r="P5">
        <f t="shared" si="8"/>
        <v>144936</v>
      </c>
      <c r="Q5">
        <f t="shared" si="9"/>
        <v>113643</v>
      </c>
      <c r="R5">
        <f t="shared" si="10"/>
        <v>138897</v>
      </c>
    </row>
    <row r="6" spans="1:18" x14ac:dyDescent="0.25">
      <c r="A6" s="2">
        <v>2</v>
      </c>
      <c r="B6" s="1">
        <v>376</v>
      </c>
      <c r="C6" s="1">
        <v>121142</v>
      </c>
      <c r="D6" s="1">
        <v>30</v>
      </c>
      <c r="E6" s="1">
        <v>230</v>
      </c>
      <c r="F6" s="1">
        <v>20</v>
      </c>
      <c r="G6">
        <f t="shared" si="0"/>
        <v>9.9595282146160962</v>
      </c>
      <c r="H6">
        <f t="shared" si="1"/>
        <v>14.979764107308048</v>
      </c>
      <c r="I6">
        <f t="shared" si="2"/>
        <v>116.73411964230651</v>
      </c>
      <c r="J6">
        <f t="shared" si="3"/>
        <v>103776</v>
      </c>
      <c r="K6">
        <f t="shared" si="4"/>
        <v>121071.99999999999</v>
      </c>
      <c r="M6" t="str">
        <f t="shared" si="5"/>
        <v>NE</v>
      </c>
      <c r="N6" t="str">
        <f t="shared" si="6"/>
        <v>ANO</v>
      </c>
      <c r="O6">
        <f t="shared" si="7"/>
        <v>93398.400000000009</v>
      </c>
      <c r="P6">
        <f t="shared" si="8"/>
        <v>114153.60000000001</v>
      </c>
      <c r="Q6">
        <f t="shared" si="9"/>
        <v>108964.79999999999</v>
      </c>
      <c r="R6">
        <f t="shared" si="10"/>
        <v>133179.19999999998</v>
      </c>
    </row>
    <row r="7" spans="1:18" x14ac:dyDescent="0.25">
      <c r="A7" s="2">
        <v>3</v>
      </c>
      <c r="B7" s="1">
        <v>7138</v>
      </c>
      <c r="C7" s="1">
        <v>32319</v>
      </c>
      <c r="D7" s="1">
        <v>11</v>
      </c>
      <c r="E7" s="1">
        <v>7</v>
      </c>
      <c r="F7" s="1">
        <v>30</v>
      </c>
      <c r="G7">
        <f t="shared" si="0"/>
        <v>28.659008125525357</v>
      </c>
      <c r="H7">
        <f t="shared" si="1"/>
        <v>14.829504062762679</v>
      </c>
      <c r="I7">
        <f t="shared" si="2"/>
        <v>104.32578024024079</v>
      </c>
      <c r="J7">
        <f t="shared" si="3"/>
        <v>30978.92</v>
      </c>
      <c r="K7">
        <f t="shared" si="4"/>
        <v>11991.84</v>
      </c>
      <c r="M7" t="str">
        <f t="shared" si="5"/>
        <v>ANO</v>
      </c>
      <c r="N7" t="str">
        <f t="shared" si="6"/>
        <v>NE</v>
      </c>
      <c r="O7">
        <f t="shared" si="7"/>
        <v>27881.027999999998</v>
      </c>
      <c r="P7">
        <f t="shared" si="8"/>
        <v>34076.811999999998</v>
      </c>
      <c r="Q7">
        <f t="shared" si="9"/>
        <v>10792.656000000001</v>
      </c>
      <c r="R7">
        <f t="shared" si="10"/>
        <v>13191.024000000001</v>
      </c>
    </row>
    <row r="8" spans="1:18" x14ac:dyDescent="0.25">
      <c r="A8" s="2">
        <v>3</v>
      </c>
      <c r="B8" s="1">
        <v>1</v>
      </c>
      <c r="C8">
        <v>36100</v>
      </c>
      <c r="D8" s="1">
        <v>41</v>
      </c>
      <c r="E8">
        <v>25000</v>
      </c>
      <c r="F8" s="1">
        <v>30</v>
      </c>
      <c r="G8">
        <f t="shared" si="0"/>
        <v>18.8</v>
      </c>
      <c r="H8">
        <f t="shared" si="1"/>
        <v>24.9</v>
      </c>
      <c r="I8">
        <f t="shared" si="2"/>
        <v>118.36065573770492</v>
      </c>
      <c r="J8">
        <f t="shared" si="3"/>
        <v>30500</v>
      </c>
      <c r="K8">
        <f t="shared" si="4"/>
        <v>36000</v>
      </c>
      <c r="M8" t="str">
        <f t="shared" si="5"/>
        <v>NE</v>
      </c>
      <c r="N8" t="str">
        <f t="shared" si="6"/>
        <v>ANO</v>
      </c>
      <c r="O8">
        <f t="shared" si="7"/>
        <v>27450</v>
      </c>
      <c r="P8">
        <f t="shared" si="8"/>
        <v>33550</v>
      </c>
      <c r="Q8">
        <f t="shared" si="9"/>
        <v>32400</v>
      </c>
      <c r="R8">
        <f t="shared" si="10"/>
        <v>39600</v>
      </c>
    </row>
    <row r="9" spans="1:18" x14ac:dyDescent="0.25">
      <c r="B9" s="1">
        <v>1000</v>
      </c>
      <c r="C9" s="1">
        <v>1714</v>
      </c>
      <c r="D9" s="1">
        <v>6</v>
      </c>
      <c r="E9" s="1">
        <v>3</v>
      </c>
      <c r="F9" s="1">
        <v>30</v>
      </c>
      <c r="G9">
        <f t="shared" si="0"/>
        <v>27.433333333333334</v>
      </c>
      <c r="H9">
        <f t="shared" si="1"/>
        <v>11.716666666666667</v>
      </c>
      <c r="I9">
        <f t="shared" si="2"/>
        <v>109.87179487179488</v>
      </c>
      <c r="J9">
        <f t="shared" si="3"/>
        <v>1560</v>
      </c>
      <c r="K9">
        <f t="shared" si="4"/>
        <v>120.00000000000011</v>
      </c>
      <c r="M9" t="str">
        <f t="shared" si="5"/>
        <v>ANO</v>
      </c>
      <c r="N9" t="str">
        <f t="shared" si="6"/>
        <v>NE</v>
      </c>
      <c r="O9">
        <f t="shared" si="7"/>
        <v>1404</v>
      </c>
      <c r="P9">
        <f t="shared" si="8"/>
        <v>1716.0000000000002</v>
      </c>
      <c r="Q9">
        <f t="shared" si="9"/>
        <v>108.0000000000001</v>
      </c>
      <c r="R9">
        <f t="shared" si="10"/>
        <v>132.00000000000014</v>
      </c>
    </row>
    <row r="10" spans="1:18" x14ac:dyDescent="0.25">
      <c r="B10" s="1">
        <v>1</v>
      </c>
      <c r="C10" s="1">
        <v>1960</v>
      </c>
      <c r="D10" s="1">
        <v>27</v>
      </c>
      <c r="E10" s="1">
        <v>2000</v>
      </c>
      <c r="F10" s="1">
        <v>30</v>
      </c>
      <c r="G10">
        <f t="shared" si="0"/>
        <v>28</v>
      </c>
      <c r="H10">
        <f t="shared" si="1"/>
        <v>22.5</v>
      </c>
      <c r="I10">
        <f t="shared" si="2"/>
        <v>104.25531914893617</v>
      </c>
      <c r="J10">
        <f t="shared" si="3"/>
        <v>1880</v>
      </c>
      <c r="K10">
        <f t="shared" si="4"/>
        <v>1760</v>
      </c>
      <c r="M10" t="str">
        <f t="shared" si="5"/>
        <v>ANO</v>
      </c>
      <c r="N10" t="str">
        <f t="shared" si="6"/>
        <v>NE</v>
      </c>
      <c r="O10">
        <f t="shared" si="7"/>
        <v>1692</v>
      </c>
      <c r="P10">
        <f t="shared" si="8"/>
        <v>2068</v>
      </c>
      <c r="Q10">
        <f t="shared" si="9"/>
        <v>1584</v>
      </c>
      <c r="R10">
        <f t="shared" si="10"/>
        <v>1936.0000000000002</v>
      </c>
    </row>
    <row r="11" spans="1:18" x14ac:dyDescent="0.25">
      <c r="B11" s="1">
        <v>1866</v>
      </c>
      <c r="C11">
        <v>2853</v>
      </c>
      <c r="D11">
        <v>4</v>
      </c>
      <c r="E11">
        <v>3</v>
      </c>
      <c r="F11" s="1">
        <v>30</v>
      </c>
      <c r="G11">
        <f t="shared" si="0"/>
        <v>28.517684887459808</v>
      </c>
      <c r="H11">
        <f t="shared" si="1"/>
        <v>11.258842443729904</v>
      </c>
      <c r="I11">
        <f>C11/(J11/100)</f>
        <v>106.17631296891747</v>
      </c>
      <c r="J11">
        <f t="shared" si="3"/>
        <v>2687.04</v>
      </c>
      <c r="K11">
        <f t="shared" si="4"/>
        <v>-223.92000000000019</v>
      </c>
      <c r="M11" t="str">
        <f t="shared" ref="M11:M16" si="11">IF((O11&lt;=C11),IF(P11&gt;=C11,"ANO","NE"),"NE")</f>
        <v>ANO</v>
      </c>
      <c r="N11" t="str">
        <f t="shared" ref="N11:N16" si="12">IF((Q11&lt;=C11),IF(R11&gt;=C11,"ANO","NE"),"NE")</f>
        <v>NE</v>
      </c>
      <c r="O11">
        <f t="shared" si="7"/>
        <v>2418.3360000000002</v>
      </c>
      <c r="P11">
        <f t="shared" si="8"/>
        <v>2955.7440000000001</v>
      </c>
      <c r="Q11">
        <f t="shared" si="9"/>
        <v>-201.52800000000016</v>
      </c>
      <c r="R11">
        <f t="shared" si="10"/>
        <v>-246.31200000000021</v>
      </c>
    </row>
    <row r="12" spans="1:18" x14ac:dyDescent="0.25">
      <c r="A12" s="2"/>
      <c r="B12" s="1"/>
      <c r="C12" s="1"/>
      <c r="F12" s="1"/>
      <c r="G12" t="e">
        <f t="shared" si="0"/>
        <v>#DIV/0!</v>
      </c>
      <c r="H12" t="e">
        <f t="shared" si="1"/>
        <v>#DIV/0!</v>
      </c>
      <c r="I12" t="e">
        <f t="shared" si="2"/>
        <v>#DIV/0!</v>
      </c>
      <c r="J12">
        <f t="shared" si="3"/>
        <v>0</v>
      </c>
      <c r="K12">
        <f t="shared" si="4"/>
        <v>0</v>
      </c>
      <c r="M12" t="str">
        <f t="shared" si="11"/>
        <v>ANO</v>
      </c>
      <c r="N12" t="str">
        <f t="shared" si="12"/>
        <v>ANO</v>
      </c>
      <c r="O12">
        <f t="shared" si="7"/>
        <v>0</v>
      </c>
      <c r="P12">
        <f t="shared" si="8"/>
        <v>0</v>
      </c>
      <c r="Q12">
        <f t="shared" si="9"/>
        <v>0</v>
      </c>
      <c r="R12">
        <f t="shared" si="10"/>
        <v>0</v>
      </c>
    </row>
    <row r="13" spans="1:18" x14ac:dyDescent="0.25">
      <c r="B13" s="1"/>
      <c r="C13" s="1"/>
      <c r="F13" s="1"/>
      <c r="G13" t="e">
        <f t="shared" si="0"/>
        <v>#DIV/0!</v>
      </c>
      <c r="H13" t="e">
        <f t="shared" si="1"/>
        <v>#DIV/0!</v>
      </c>
      <c r="I13" t="e">
        <f t="shared" si="2"/>
        <v>#DIV/0!</v>
      </c>
      <c r="J13">
        <f t="shared" si="3"/>
        <v>0</v>
      </c>
      <c r="K13">
        <f t="shared" si="4"/>
        <v>0</v>
      </c>
      <c r="M13" t="str">
        <f t="shared" si="11"/>
        <v>ANO</v>
      </c>
      <c r="N13" t="str">
        <f t="shared" si="12"/>
        <v>ANO</v>
      </c>
      <c r="O13">
        <f t="shared" si="7"/>
        <v>0</v>
      </c>
      <c r="P13">
        <f t="shared" si="8"/>
        <v>0</v>
      </c>
      <c r="Q13">
        <f t="shared" si="9"/>
        <v>0</v>
      </c>
      <c r="R13">
        <f t="shared" si="10"/>
        <v>0</v>
      </c>
    </row>
    <row r="14" spans="1:18" x14ac:dyDescent="0.25">
      <c r="B14" s="1"/>
      <c r="G14" t="e">
        <f t="shared" si="0"/>
        <v>#DIV/0!</v>
      </c>
      <c r="H14" t="e">
        <f t="shared" si="1"/>
        <v>#DIV/0!</v>
      </c>
      <c r="I14" t="e">
        <f t="shared" si="2"/>
        <v>#DIV/0!</v>
      </c>
      <c r="J14">
        <f t="shared" si="3"/>
        <v>0</v>
      </c>
      <c r="K14">
        <f t="shared" si="4"/>
        <v>0</v>
      </c>
      <c r="M14" t="str">
        <f t="shared" si="11"/>
        <v>ANO</v>
      </c>
      <c r="N14" t="str">
        <f t="shared" si="12"/>
        <v>ANO</v>
      </c>
      <c r="O14">
        <f t="shared" ref="O14" si="13">J14*0.9</f>
        <v>0</v>
      </c>
      <c r="P14">
        <f t="shared" ref="P14" si="14">J14*1.1</f>
        <v>0</v>
      </c>
      <c r="Q14">
        <f t="shared" ref="Q14" si="15">K14*0.9</f>
        <v>0</v>
      </c>
      <c r="R14">
        <f t="shared" ref="R14" si="16">K14*1.1</f>
        <v>0</v>
      </c>
    </row>
    <row r="15" spans="1:18" x14ac:dyDescent="0.25">
      <c r="A15" s="2">
        <v>3</v>
      </c>
      <c r="B15" s="1">
        <v>1000</v>
      </c>
      <c r="C15" s="1">
        <v>688565</v>
      </c>
      <c r="D15">
        <v>140</v>
      </c>
      <c r="E15">
        <v>150</v>
      </c>
      <c r="F15" s="1">
        <v>42</v>
      </c>
      <c r="G15">
        <f t="shared" si="0"/>
        <v>-39.521666666666668</v>
      </c>
      <c r="H15">
        <f t="shared" si="1"/>
        <v>45.239166666666669</v>
      </c>
      <c r="I15">
        <f t="shared" si="2"/>
        <v>155.0822072072072</v>
      </c>
      <c r="J15">
        <f t="shared" si="3"/>
        <v>444000</v>
      </c>
      <c r="K15">
        <f t="shared" si="4"/>
        <v>738000</v>
      </c>
      <c r="M15" t="str">
        <f t="shared" si="11"/>
        <v>NE</v>
      </c>
      <c r="N15" t="str">
        <f t="shared" si="12"/>
        <v>ANO</v>
      </c>
      <c r="O15">
        <f t="shared" si="7"/>
        <v>399600</v>
      </c>
      <c r="P15">
        <f t="shared" si="8"/>
        <v>488400.00000000006</v>
      </c>
      <c r="Q15">
        <f t="shared" si="9"/>
        <v>664200</v>
      </c>
      <c r="R15">
        <f t="shared" si="10"/>
        <v>811800.00000000012</v>
      </c>
    </row>
    <row r="16" spans="1:18" x14ac:dyDescent="0.25">
      <c r="B16" s="1">
        <v>907</v>
      </c>
      <c r="C16" s="1">
        <v>693921</v>
      </c>
      <c r="D16">
        <v>140</v>
      </c>
      <c r="E16">
        <v>150</v>
      </c>
      <c r="F16" s="1">
        <v>42</v>
      </c>
      <c r="G16">
        <f t="shared" si="0"/>
        <v>-65.024255788313127</v>
      </c>
      <c r="H16">
        <f t="shared" si="1"/>
        <v>32.487872105843437</v>
      </c>
      <c r="I16">
        <f t="shared" si="2"/>
        <v>172.3136863434548</v>
      </c>
      <c r="J16">
        <f t="shared" si="3"/>
        <v>402708</v>
      </c>
      <c r="K16">
        <f t="shared" si="4"/>
        <v>669366</v>
      </c>
      <c r="M16" t="str">
        <f t="shared" si="11"/>
        <v>NE</v>
      </c>
      <c r="N16" t="str">
        <f t="shared" si="12"/>
        <v>ANO</v>
      </c>
      <c r="O16">
        <f t="shared" ref="O16:O17" si="17">J16*0.9</f>
        <v>362437.2</v>
      </c>
      <c r="P16">
        <f t="shared" ref="P16:P17" si="18">J16*1.1</f>
        <v>442978.80000000005</v>
      </c>
      <c r="Q16">
        <f t="shared" ref="Q16:Q17" si="19">K16*0.9</f>
        <v>602429.4</v>
      </c>
      <c r="R16">
        <f t="shared" ref="R16:R17" si="20">K16*1.1</f>
        <v>736302.60000000009</v>
      </c>
    </row>
    <row r="17" spans="2:18" x14ac:dyDescent="0.25">
      <c r="B17">
        <v>452</v>
      </c>
      <c r="C17" s="5">
        <v>874913</v>
      </c>
      <c r="D17">
        <f>(D15/3)*3.3</f>
        <v>153.99999999999997</v>
      </c>
      <c r="E17">
        <f>(E15/3)*3.3</f>
        <v>165</v>
      </c>
      <c r="F17" s="1">
        <v>9</v>
      </c>
      <c r="G17">
        <f t="shared" si="0"/>
        <v>-382.56006972378651</v>
      </c>
      <c r="H17">
        <f t="shared" si="1"/>
        <v>-119.2800348618933</v>
      </c>
      <c r="I17">
        <f t="shared" si="2"/>
        <v>300.80003575578803</v>
      </c>
      <c r="J17">
        <f t="shared" si="3"/>
        <v>290861.99999999994</v>
      </c>
      <c r="K17">
        <f t="shared" si="4"/>
        <v>507143.99999999994</v>
      </c>
      <c r="M17" t="str">
        <f t="shared" ref="M17" si="21">IF((O17&lt;=C17),IF(P17&gt;=C17,"ANO","NE"),"NE")</f>
        <v>NE</v>
      </c>
      <c r="N17" t="str">
        <f t="shared" ref="N17" si="22">IF((Q17&lt;=C17),IF(R17&gt;=C17,"ANO","NE"),"NE")</f>
        <v>NE</v>
      </c>
      <c r="O17">
        <f t="shared" si="17"/>
        <v>261775.79999999996</v>
      </c>
      <c r="P17">
        <f t="shared" si="18"/>
        <v>319948.19999999995</v>
      </c>
      <c r="Q17">
        <f t="shared" si="19"/>
        <v>456429.6</v>
      </c>
      <c r="R17">
        <f t="shared" si="20"/>
        <v>557858.4</v>
      </c>
    </row>
    <row r="18" spans="2:18" x14ac:dyDescent="0.25">
      <c r="B18" s="1">
        <v>323</v>
      </c>
      <c r="C18" s="1">
        <v>577121</v>
      </c>
      <c r="D18">
        <f>(D16/3)*3.3</f>
        <v>153.99999999999997</v>
      </c>
      <c r="E18">
        <f>(E16/3)*3.3</f>
        <v>165</v>
      </c>
      <c r="F18" s="1">
        <v>4</v>
      </c>
      <c r="G18">
        <f t="shared" si="0"/>
        <v>-337.44009757012856</v>
      </c>
      <c r="H18">
        <f t="shared" si="1"/>
        <v>-96.720048785064279</v>
      </c>
      <c r="I18">
        <f t="shared" si="2"/>
        <v>270.72004878506431</v>
      </c>
      <c r="J18">
        <f t="shared" si="3"/>
        <v>213179.99999999997</v>
      </c>
      <c r="K18">
        <f t="shared" si="4"/>
        <v>373064.99999999994</v>
      </c>
      <c r="M18" t="str">
        <f t="shared" ref="M18" si="23">IF((O18&lt;=C18),IF(P18&gt;=C18,"ANO","NE"),"NE")</f>
        <v>NE</v>
      </c>
      <c r="N18" t="str">
        <f t="shared" ref="N18" si="24">IF((Q18&lt;=C18),IF(R18&gt;=C18,"ANO","NE"),"NE")</f>
        <v>NE</v>
      </c>
      <c r="O18">
        <f t="shared" ref="O18" si="25">J18*0.9</f>
        <v>191861.99999999997</v>
      </c>
      <c r="P18">
        <f t="shared" ref="P18" si="26">J18*1.1</f>
        <v>234498</v>
      </c>
      <c r="Q18">
        <f t="shared" ref="Q18" si="27">K18*0.9</f>
        <v>335758.49999999994</v>
      </c>
      <c r="R18">
        <f t="shared" ref="R18" si="28">K18*1.1</f>
        <v>410371.49999999994</v>
      </c>
    </row>
    <row r="22" spans="2:18" x14ac:dyDescent="0.25">
      <c r="C22" t="s">
        <v>14</v>
      </c>
      <c r="D22" t="s">
        <v>13</v>
      </c>
      <c r="F22" t="s">
        <v>15</v>
      </c>
      <c r="G22" t="s">
        <v>10</v>
      </c>
      <c r="H22" t="s">
        <v>11</v>
      </c>
      <c r="I22" t="s">
        <v>12</v>
      </c>
      <c r="K22" t="s">
        <v>23</v>
      </c>
    </row>
    <row r="23" spans="2:18" x14ac:dyDescent="0.25">
      <c r="B23" t="s">
        <v>16</v>
      </c>
      <c r="C23">
        <v>350</v>
      </c>
      <c r="E23">
        <v>1000</v>
      </c>
      <c r="F23">
        <v>9</v>
      </c>
      <c r="G23">
        <v>10</v>
      </c>
      <c r="H23">
        <v>60</v>
      </c>
      <c r="I23">
        <v>50</v>
      </c>
    </row>
    <row r="25" spans="2:18" x14ac:dyDescent="0.25">
      <c r="B25" t="s">
        <v>20</v>
      </c>
    </row>
    <row r="28" spans="2:18" x14ac:dyDescent="0.25">
      <c r="B28" t="s">
        <v>62</v>
      </c>
      <c r="H28" t="s">
        <v>28</v>
      </c>
    </row>
    <row r="29" spans="2:18" x14ac:dyDescent="0.25">
      <c r="B29" t="s">
        <v>63</v>
      </c>
      <c r="H29" t="s">
        <v>29</v>
      </c>
    </row>
    <row r="30" spans="2:18" x14ac:dyDescent="0.25">
      <c r="B30" t="s">
        <v>64</v>
      </c>
      <c r="H30" t="s">
        <v>30</v>
      </c>
      <c r="M30" t="s">
        <v>51</v>
      </c>
    </row>
    <row r="31" spans="2:18" x14ac:dyDescent="0.25">
      <c r="B31" t="s">
        <v>65</v>
      </c>
      <c r="H31" t="s">
        <v>31</v>
      </c>
      <c r="M31" t="s">
        <v>52</v>
      </c>
    </row>
    <row r="32" spans="2:18" x14ac:dyDescent="0.25">
      <c r="B32" t="s">
        <v>66</v>
      </c>
      <c r="E32">
        <v>1225000</v>
      </c>
      <c r="H32" t="s">
        <v>32</v>
      </c>
      <c r="M32" t="s">
        <v>53</v>
      </c>
    </row>
    <row r="33" spans="2:15" x14ac:dyDescent="0.25">
      <c r="M33" t="s">
        <v>54</v>
      </c>
    </row>
    <row r="34" spans="2:15" x14ac:dyDescent="0.25">
      <c r="B34">
        <v>50</v>
      </c>
      <c r="C34">
        <v>5000</v>
      </c>
      <c r="D34">
        <f>B34*C34</f>
        <v>250000</v>
      </c>
      <c r="M34" t="s">
        <v>55</v>
      </c>
    </row>
    <row r="35" spans="2:15" x14ac:dyDescent="0.25">
      <c r="B35">
        <v>300</v>
      </c>
      <c r="C35">
        <v>1000</v>
      </c>
      <c r="D35">
        <f t="shared" ref="D35:D38" si="29">B35*C35</f>
        <v>300000</v>
      </c>
      <c r="H35">
        <v>4000000</v>
      </c>
    </row>
    <row r="36" spans="2:15" x14ac:dyDescent="0.25">
      <c r="B36">
        <v>150</v>
      </c>
      <c r="C36">
        <v>1000</v>
      </c>
      <c r="D36">
        <f t="shared" si="29"/>
        <v>150000</v>
      </c>
    </row>
    <row r="37" spans="2:15" x14ac:dyDescent="0.25">
      <c r="B37">
        <v>3000</v>
      </c>
      <c r="C37">
        <v>100</v>
      </c>
      <c r="D37">
        <f t="shared" si="29"/>
        <v>300000</v>
      </c>
    </row>
    <row r="38" spans="2:15" x14ac:dyDescent="0.25">
      <c r="B38">
        <v>1500</v>
      </c>
      <c r="C38">
        <v>150</v>
      </c>
      <c r="D38">
        <f t="shared" si="29"/>
        <v>225000</v>
      </c>
      <c r="H38">
        <v>200</v>
      </c>
      <c r="I38">
        <v>5000</v>
      </c>
      <c r="J38">
        <f>H38*I38</f>
        <v>1000000</v>
      </c>
      <c r="K38" t="s">
        <v>19</v>
      </c>
      <c r="M38">
        <v>100</v>
      </c>
      <c r="N38">
        <v>5000</v>
      </c>
      <c r="O38">
        <f>M38*N38</f>
        <v>500000</v>
      </c>
    </row>
    <row r="39" spans="2:15" x14ac:dyDescent="0.25">
      <c r="D39">
        <f>SUM(D34:D38)</f>
        <v>1225000</v>
      </c>
      <c r="H39">
        <v>200</v>
      </c>
      <c r="I39">
        <v>5000</v>
      </c>
      <c r="J39">
        <f t="shared" ref="J39:J42" si="30">H39*I39</f>
        <v>1000000</v>
      </c>
      <c r="K39" t="s">
        <v>34</v>
      </c>
      <c r="M39">
        <v>2500</v>
      </c>
      <c r="N39">
        <v>100</v>
      </c>
      <c r="O39">
        <f t="shared" ref="O39:O42" si="31">M39*N39</f>
        <v>250000</v>
      </c>
    </row>
    <row r="40" spans="2:15" x14ac:dyDescent="0.25">
      <c r="H40">
        <v>1000</v>
      </c>
      <c r="I40">
        <v>1000</v>
      </c>
      <c r="J40">
        <f t="shared" si="30"/>
        <v>1000000</v>
      </c>
      <c r="K40" t="s">
        <v>17</v>
      </c>
      <c r="M40">
        <v>5000</v>
      </c>
      <c r="O40">
        <f t="shared" si="31"/>
        <v>0</v>
      </c>
    </row>
    <row r="41" spans="2:15" x14ac:dyDescent="0.25">
      <c r="H41">
        <v>500</v>
      </c>
      <c r="I41">
        <v>1000</v>
      </c>
      <c r="J41">
        <f t="shared" si="30"/>
        <v>500000</v>
      </c>
      <c r="K41" t="s">
        <v>18</v>
      </c>
      <c r="M41">
        <v>200</v>
      </c>
      <c r="N41">
        <v>1000</v>
      </c>
      <c r="O41">
        <f t="shared" si="31"/>
        <v>200000</v>
      </c>
    </row>
    <row r="42" spans="2:15" x14ac:dyDescent="0.25">
      <c r="H42">
        <v>500</v>
      </c>
      <c r="I42">
        <v>1000</v>
      </c>
      <c r="J42">
        <f t="shared" si="30"/>
        <v>500000</v>
      </c>
      <c r="K42" t="s">
        <v>33</v>
      </c>
      <c r="M42">
        <v>10000</v>
      </c>
      <c r="O42">
        <f t="shared" si="31"/>
        <v>0</v>
      </c>
    </row>
    <row r="43" spans="2:15" x14ac:dyDescent="0.25">
      <c r="J43">
        <f>SUM(J38:J42)</f>
        <v>4000000</v>
      </c>
      <c r="O43">
        <f>SUM(O38:O42)</f>
        <v>950000</v>
      </c>
    </row>
    <row r="49" spans="4:13" x14ac:dyDescent="0.25">
      <c r="D49" t="s">
        <v>56</v>
      </c>
      <c r="H49" t="s">
        <v>69</v>
      </c>
      <c r="I49">
        <v>473</v>
      </c>
      <c r="J49">
        <v>100</v>
      </c>
      <c r="K49">
        <f>I49*J49</f>
        <v>47300</v>
      </c>
    </row>
    <row r="50" spans="4:13" x14ac:dyDescent="0.25">
      <c r="D50" t="s">
        <v>57</v>
      </c>
      <c r="F50">
        <v>5000</v>
      </c>
      <c r="H50" t="s">
        <v>70</v>
      </c>
      <c r="I50">
        <v>200</v>
      </c>
      <c r="J50">
        <v>1000</v>
      </c>
      <c r="K50">
        <f t="shared" ref="K50:K52" si="32">I50*J50</f>
        <v>200000</v>
      </c>
    </row>
    <row r="51" spans="4:13" x14ac:dyDescent="0.25">
      <c r="D51" t="s">
        <v>58</v>
      </c>
      <c r="F51">
        <v>100</v>
      </c>
      <c r="H51" t="s">
        <v>71</v>
      </c>
      <c r="I51">
        <v>5000</v>
      </c>
      <c r="J51">
        <v>100</v>
      </c>
      <c r="K51">
        <f t="shared" si="32"/>
        <v>500000</v>
      </c>
    </row>
    <row r="52" spans="4:13" x14ac:dyDescent="0.25">
      <c r="D52" t="s">
        <v>60</v>
      </c>
      <c r="F52">
        <v>1000</v>
      </c>
      <c r="H52" t="s">
        <v>34</v>
      </c>
      <c r="I52">
        <v>25</v>
      </c>
      <c r="J52">
        <v>5000</v>
      </c>
      <c r="K52">
        <f t="shared" si="32"/>
        <v>125000</v>
      </c>
    </row>
    <row r="53" spans="4:13" x14ac:dyDescent="0.25">
      <c r="D53" t="s">
        <v>59</v>
      </c>
      <c r="F53">
        <v>1000</v>
      </c>
      <c r="K53">
        <f>SUM(K49:K52)</f>
        <v>872300</v>
      </c>
      <c r="M53">
        <v>872300</v>
      </c>
    </row>
    <row r="54" spans="4:13" x14ac:dyDescent="0.25">
      <c r="D54" t="s">
        <v>61</v>
      </c>
      <c r="F54">
        <v>5000</v>
      </c>
    </row>
    <row r="55" spans="4:13" x14ac:dyDescent="0.25">
      <c r="D55" t="s">
        <v>67</v>
      </c>
      <c r="F55">
        <v>150</v>
      </c>
    </row>
    <row r="56" spans="4:13" x14ac:dyDescent="0.25">
      <c r="D56" t="s">
        <v>68</v>
      </c>
      <c r="F56">
        <v>20</v>
      </c>
    </row>
    <row r="57" spans="4:13" x14ac:dyDescent="0.25">
      <c r="D57" t="s">
        <v>71</v>
      </c>
      <c r="F57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G22" sqref="G22"/>
    </sheetView>
  </sheetViews>
  <sheetFormatPr defaultRowHeight="15" x14ac:dyDescent="0.25"/>
  <cols>
    <col min="2" max="2" width="11.42578125" customWidth="1"/>
    <col min="5" max="5" width="10.7109375" customWidth="1"/>
    <col min="6" max="6" width="13.42578125" customWidth="1"/>
    <col min="7" max="7" width="16.140625" customWidth="1"/>
    <col min="8" max="8" width="17" customWidth="1"/>
    <col min="9" max="9" width="16.85546875" customWidth="1"/>
    <col min="11" max="11" width="11.85546875" bestFit="1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A2">
        <v>200</v>
      </c>
      <c r="B2" s="1">
        <v>418</v>
      </c>
      <c r="C2" s="1">
        <v>222711</v>
      </c>
      <c r="D2" s="1">
        <v>43</v>
      </c>
      <c r="E2" s="1">
        <v>360</v>
      </c>
      <c r="F2">
        <v>34</v>
      </c>
      <c r="G2">
        <f>(50*C2-50*B2*E2-D2*B2*E2)/(-1*B2*E2)</f>
        <v>18.999800637958533</v>
      </c>
      <c r="H2">
        <f>(25*C2-20*B2*E2-D2*B2*E2)/(-1*B2*E2)</f>
        <v>25.999900318979268</v>
      </c>
      <c r="I2">
        <f>C2/(J2/100)</f>
        <v>125.42406671532453</v>
      </c>
      <c r="J2">
        <f>B2*E2*(1+(D2-F2)/50)</f>
        <v>177566.4</v>
      </c>
      <c r="K2">
        <f>B2*E2*(1+(D2-F2)/20)</f>
        <v>218196</v>
      </c>
      <c r="M2" t="str">
        <f>IF((O2&lt;=C2),IF(P2&gt;=C2,"ANO","NE"),"NE")</f>
        <v>NE</v>
      </c>
      <c r="N2" t="str">
        <f>IF((Q2&lt;=C2),IF(R2&gt;=C2,"ANO","NE"),"NE")</f>
        <v>ANO</v>
      </c>
      <c r="O2">
        <f>J2*0.9</f>
        <v>159809.76</v>
      </c>
      <c r="P2">
        <f>J2*1.1</f>
        <v>195323.04</v>
      </c>
      <c r="Q2">
        <f>K2*0.9</f>
        <v>196376.4</v>
      </c>
      <c r="R2">
        <f>K2*1.1</f>
        <v>240015.6</v>
      </c>
    </row>
    <row r="3" spans="1:18" x14ac:dyDescent="0.25">
      <c r="A3">
        <v>300</v>
      </c>
      <c r="F3" t="s">
        <v>35</v>
      </c>
      <c r="G3" t="e">
        <f t="shared" ref="G3:G18" si="0">(50*C3-50*B3*E3-D3*B3*E3)/(-1*B3*E3)</f>
        <v>#DIV/0!</v>
      </c>
      <c r="H3" t="e">
        <f t="shared" ref="H3:H18" si="1">(25*C3-20*B3*E3-D3*B3*E3)/(-1*B3*E3)</f>
        <v>#DIV/0!</v>
      </c>
      <c r="I3" t="e">
        <f>C3/(J3/100)</f>
        <v>#VALUE!</v>
      </c>
      <c r="J3" t="e">
        <f t="shared" ref="J3:J18" si="2">B3*E3*(1+(D3-F3)/50)</f>
        <v>#VALUE!</v>
      </c>
      <c r="K3" t="e">
        <f>B3*E3*(1+(D3-F3)/25)</f>
        <v>#VALUE!</v>
      </c>
      <c r="M3" t="e">
        <f t="shared" ref="M3:M18" si="3">IF((O3&lt;=C3),IF(P3&gt;=C3,"ANO","NE"),"NE")</f>
        <v>#VALUE!</v>
      </c>
      <c r="N3" t="e">
        <f t="shared" ref="N3:N18" si="4">IF((Q3&lt;=C3),IF(R3&gt;=C3,"ANO","NE"),"NE")</f>
        <v>#VALUE!</v>
      </c>
      <c r="O3" t="e">
        <f t="shared" ref="O3:O18" si="5">J3*0.9</f>
        <v>#VALUE!</v>
      </c>
      <c r="P3" t="e">
        <f t="shared" ref="P3:P18" si="6">J3*1.1</f>
        <v>#VALUE!</v>
      </c>
      <c r="Q3" t="e">
        <f t="shared" ref="Q3:Q18" si="7">K3*0.9</f>
        <v>#VALUE!</v>
      </c>
      <c r="R3" t="e">
        <f t="shared" ref="R3:R18" si="8">K3*1.1</f>
        <v>#VALUE!</v>
      </c>
    </row>
    <row r="4" spans="1:18" x14ac:dyDescent="0.25">
      <c r="G4" t="e">
        <f t="shared" si="0"/>
        <v>#DIV/0!</v>
      </c>
      <c r="H4" t="e">
        <f t="shared" si="1"/>
        <v>#DIV/0!</v>
      </c>
      <c r="I4" t="e">
        <f t="shared" ref="I4:I6" si="9">C4/(J4/100)</f>
        <v>#DIV/0!</v>
      </c>
      <c r="J4">
        <f t="shared" si="2"/>
        <v>0</v>
      </c>
      <c r="K4">
        <f t="shared" ref="K4:K18" si="10">B4*E4*(1+(D4-F4)/25)</f>
        <v>0</v>
      </c>
      <c r="M4" t="str">
        <f t="shared" si="3"/>
        <v>ANO</v>
      </c>
      <c r="N4" t="str">
        <f t="shared" si="4"/>
        <v>ANO</v>
      </c>
      <c r="O4">
        <f t="shared" si="5"/>
        <v>0</v>
      </c>
      <c r="P4">
        <f t="shared" si="6"/>
        <v>0</v>
      </c>
      <c r="Q4">
        <f t="shared" si="7"/>
        <v>0</v>
      </c>
      <c r="R4">
        <f t="shared" si="8"/>
        <v>0</v>
      </c>
    </row>
    <row r="5" spans="1:18" x14ac:dyDescent="0.25">
      <c r="G5" t="e">
        <f t="shared" si="0"/>
        <v>#DIV/0!</v>
      </c>
      <c r="H5" t="e">
        <f t="shared" si="1"/>
        <v>#DIV/0!</v>
      </c>
      <c r="I5" t="e">
        <f t="shared" si="9"/>
        <v>#DIV/0!</v>
      </c>
      <c r="J5">
        <f t="shared" si="2"/>
        <v>0</v>
      </c>
      <c r="K5">
        <f t="shared" si="10"/>
        <v>0</v>
      </c>
      <c r="M5" t="str">
        <f t="shared" si="3"/>
        <v>ANO</v>
      </c>
      <c r="N5" t="str">
        <f t="shared" si="4"/>
        <v>ANO</v>
      </c>
      <c r="O5">
        <f t="shared" si="5"/>
        <v>0</v>
      </c>
      <c r="P5">
        <f t="shared" si="6"/>
        <v>0</v>
      </c>
      <c r="Q5">
        <f t="shared" si="7"/>
        <v>0</v>
      </c>
      <c r="R5">
        <f t="shared" si="8"/>
        <v>0</v>
      </c>
    </row>
    <row r="6" spans="1:18" x14ac:dyDescent="0.25">
      <c r="G6" t="e">
        <f t="shared" si="0"/>
        <v>#DIV/0!</v>
      </c>
      <c r="H6" t="e">
        <f t="shared" si="1"/>
        <v>#DIV/0!</v>
      </c>
      <c r="I6" t="e">
        <f t="shared" si="9"/>
        <v>#DIV/0!</v>
      </c>
      <c r="J6">
        <f t="shared" si="2"/>
        <v>0</v>
      </c>
      <c r="K6">
        <f t="shared" si="10"/>
        <v>0</v>
      </c>
      <c r="M6" t="str">
        <f t="shared" si="3"/>
        <v>ANO</v>
      </c>
      <c r="N6" t="str">
        <f t="shared" si="4"/>
        <v>ANO</v>
      </c>
      <c r="O6">
        <f t="shared" si="5"/>
        <v>0</v>
      </c>
      <c r="P6">
        <f t="shared" si="6"/>
        <v>0</v>
      </c>
      <c r="Q6">
        <f t="shared" si="7"/>
        <v>0</v>
      </c>
      <c r="R6">
        <f t="shared" si="8"/>
        <v>0</v>
      </c>
    </row>
    <row r="7" spans="1:18" x14ac:dyDescent="0.25">
      <c r="G7" t="e">
        <f t="shared" si="0"/>
        <v>#DIV/0!</v>
      </c>
      <c r="H7" t="e">
        <f t="shared" si="1"/>
        <v>#DIV/0!</v>
      </c>
      <c r="I7" t="e">
        <f t="shared" ref="I7" si="11">C7/(K7/100)</f>
        <v>#DIV/0!</v>
      </c>
      <c r="J7">
        <f t="shared" si="2"/>
        <v>0</v>
      </c>
      <c r="K7">
        <f t="shared" si="10"/>
        <v>0</v>
      </c>
      <c r="M7" t="str">
        <f t="shared" si="3"/>
        <v>ANO</v>
      </c>
      <c r="N7" t="str">
        <f t="shared" si="4"/>
        <v>ANO</v>
      </c>
      <c r="O7">
        <f t="shared" si="5"/>
        <v>0</v>
      </c>
      <c r="P7">
        <f t="shared" si="6"/>
        <v>0</v>
      </c>
      <c r="Q7">
        <f t="shared" si="7"/>
        <v>0</v>
      </c>
      <c r="R7">
        <f t="shared" si="8"/>
        <v>0</v>
      </c>
    </row>
    <row r="8" spans="1:18" x14ac:dyDescent="0.25">
      <c r="G8" t="e">
        <f t="shared" si="0"/>
        <v>#DIV/0!</v>
      </c>
      <c r="H8" t="e">
        <f t="shared" si="1"/>
        <v>#DIV/0!</v>
      </c>
      <c r="I8" t="e">
        <f>C8/(K8/100)</f>
        <v>#DIV/0!</v>
      </c>
      <c r="J8">
        <f t="shared" si="2"/>
        <v>0</v>
      </c>
      <c r="K8">
        <f t="shared" si="10"/>
        <v>0</v>
      </c>
      <c r="M8" t="str">
        <f t="shared" si="3"/>
        <v>ANO</v>
      </c>
      <c r="N8" t="str">
        <f t="shared" si="4"/>
        <v>ANO</v>
      </c>
      <c r="O8">
        <f t="shared" si="5"/>
        <v>0</v>
      </c>
      <c r="P8">
        <f t="shared" si="6"/>
        <v>0</v>
      </c>
      <c r="Q8">
        <f t="shared" si="7"/>
        <v>0</v>
      </c>
      <c r="R8">
        <f t="shared" si="8"/>
        <v>0</v>
      </c>
    </row>
    <row r="9" spans="1:18" x14ac:dyDescent="0.25">
      <c r="G9" t="e">
        <f>(50*C9-50*B9*E9-D9*B9*E9)/(-1*B9*E9)</f>
        <v>#DIV/0!</v>
      </c>
      <c r="H9" t="e">
        <f t="shared" si="1"/>
        <v>#DIV/0!</v>
      </c>
      <c r="I9" t="e">
        <f>C9/(K9/100)</f>
        <v>#DIV/0!</v>
      </c>
      <c r="J9">
        <f t="shared" si="2"/>
        <v>0</v>
      </c>
      <c r="K9">
        <f t="shared" si="10"/>
        <v>0</v>
      </c>
      <c r="M9" t="str">
        <f t="shared" si="3"/>
        <v>ANO</v>
      </c>
      <c r="N9" t="str">
        <f t="shared" si="4"/>
        <v>ANO</v>
      </c>
      <c r="O9">
        <f t="shared" si="5"/>
        <v>0</v>
      </c>
      <c r="P9">
        <f t="shared" si="6"/>
        <v>0</v>
      </c>
      <c r="Q9">
        <f t="shared" si="7"/>
        <v>0</v>
      </c>
      <c r="R9">
        <f t="shared" si="8"/>
        <v>0</v>
      </c>
    </row>
    <row r="10" spans="1:18" x14ac:dyDescent="0.25">
      <c r="G10" t="e">
        <f t="shared" si="0"/>
        <v>#DIV/0!</v>
      </c>
      <c r="H10" t="e">
        <f t="shared" si="1"/>
        <v>#DIV/0!</v>
      </c>
      <c r="I10" t="e">
        <f>C10/(K10/100)</f>
        <v>#DIV/0!</v>
      </c>
      <c r="J10">
        <f t="shared" si="2"/>
        <v>0</v>
      </c>
      <c r="K10">
        <f t="shared" si="10"/>
        <v>0</v>
      </c>
      <c r="M10" t="str">
        <f t="shared" si="3"/>
        <v>ANO</v>
      </c>
      <c r="N10" t="str">
        <f t="shared" si="4"/>
        <v>ANO</v>
      </c>
      <c r="O10">
        <f t="shared" si="5"/>
        <v>0</v>
      </c>
      <c r="P10">
        <f t="shared" si="6"/>
        <v>0</v>
      </c>
      <c r="Q10">
        <f t="shared" si="7"/>
        <v>0</v>
      </c>
      <c r="R10">
        <f t="shared" si="8"/>
        <v>0</v>
      </c>
    </row>
    <row r="11" spans="1:18" x14ac:dyDescent="0.25">
      <c r="G11" t="e">
        <f>(50*C11-50*A12*E11-D11*A12*E11)/(-1*A12*E11)</f>
        <v>#DIV/0!</v>
      </c>
      <c r="H11" t="e">
        <f t="shared" si="1"/>
        <v>#DIV/0!</v>
      </c>
      <c r="I11" t="e">
        <f>C11/(K11/100)</f>
        <v>#DIV/0!</v>
      </c>
      <c r="J11">
        <f t="shared" si="2"/>
        <v>0</v>
      </c>
      <c r="K11">
        <f t="shared" si="10"/>
        <v>0</v>
      </c>
      <c r="M11" t="str">
        <f t="shared" si="3"/>
        <v>ANO</v>
      </c>
      <c r="N11" t="str">
        <f t="shared" si="4"/>
        <v>ANO</v>
      </c>
      <c r="O11">
        <f t="shared" si="5"/>
        <v>0</v>
      </c>
      <c r="P11">
        <f t="shared" si="6"/>
        <v>0</v>
      </c>
      <c r="Q11">
        <f t="shared" si="7"/>
        <v>0</v>
      </c>
      <c r="R11">
        <f t="shared" si="8"/>
        <v>0</v>
      </c>
    </row>
    <row r="12" spans="1:18" x14ac:dyDescent="0.25">
      <c r="A12" s="2">
        <v>3</v>
      </c>
      <c r="B12" s="1">
        <v>500</v>
      </c>
      <c r="C12" s="1">
        <v>1368684</v>
      </c>
      <c r="D12">
        <v>195</v>
      </c>
      <c r="E12">
        <v>300</v>
      </c>
      <c r="F12" s="1">
        <v>0</v>
      </c>
      <c r="G12">
        <f t="shared" si="0"/>
        <v>-211.22800000000001</v>
      </c>
      <c r="H12">
        <f t="shared" si="1"/>
        <v>-13.114000000000001</v>
      </c>
      <c r="J12">
        <f t="shared" si="2"/>
        <v>735000</v>
      </c>
      <c r="K12">
        <f t="shared" si="10"/>
        <v>1320000</v>
      </c>
      <c r="M12" t="str">
        <f t="shared" si="3"/>
        <v>NE</v>
      </c>
      <c r="N12" t="str">
        <f t="shared" si="4"/>
        <v>ANO</v>
      </c>
      <c r="O12">
        <f t="shared" si="5"/>
        <v>661500</v>
      </c>
      <c r="P12">
        <f t="shared" si="6"/>
        <v>808500.00000000012</v>
      </c>
      <c r="Q12">
        <f t="shared" si="7"/>
        <v>1188000</v>
      </c>
      <c r="R12">
        <f t="shared" si="8"/>
        <v>1452000.0000000002</v>
      </c>
    </row>
    <row r="13" spans="1:18" x14ac:dyDescent="0.25">
      <c r="A13" s="2">
        <v>3</v>
      </c>
      <c r="B13">
        <v>500</v>
      </c>
      <c r="C13">
        <v>1258560</v>
      </c>
      <c r="D13">
        <v>195</v>
      </c>
      <c r="E13">
        <v>300</v>
      </c>
      <c r="F13">
        <v>10</v>
      </c>
      <c r="G13">
        <f t="shared" si="0"/>
        <v>-174.52</v>
      </c>
      <c r="H13">
        <f t="shared" si="1"/>
        <v>5.24</v>
      </c>
      <c r="J13">
        <f t="shared" si="2"/>
        <v>705000</v>
      </c>
      <c r="K13">
        <f t="shared" si="10"/>
        <v>1260000</v>
      </c>
      <c r="M13" t="str">
        <f t="shared" si="3"/>
        <v>NE</v>
      </c>
      <c r="N13" t="str">
        <f t="shared" si="4"/>
        <v>ANO</v>
      </c>
      <c r="O13">
        <f t="shared" si="5"/>
        <v>634500</v>
      </c>
      <c r="P13">
        <f t="shared" si="6"/>
        <v>775500.00000000012</v>
      </c>
      <c r="Q13">
        <f t="shared" si="7"/>
        <v>1134000</v>
      </c>
      <c r="R13">
        <f t="shared" si="8"/>
        <v>1386000</v>
      </c>
    </row>
    <row r="14" spans="1:18" x14ac:dyDescent="0.25">
      <c r="A14">
        <v>300</v>
      </c>
      <c r="B14">
        <v>424</v>
      </c>
      <c r="C14">
        <v>1507681</v>
      </c>
      <c r="D14">
        <v>195</v>
      </c>
      <c r="E14">
        <v>300</v>
      </c>
      <c r="F14">
        <v>8</v>
      </c>
      <c r="G14">
        <f t="shared" si="0"/>
        <v>-347.64190251572325</v>
      </c>
      <c r="H14">
        <f t="shared" si="1"/>
        <v>-81.320951257861637</v>
      </c>
      <c r="J14">
        <f t="shared" si="2"/>
        <v>602928</v>
      </c>
      <c r="K14">
        <f t="shared" si="10"/>
        <v>1078656</v>
      </c>
      <c r="M14" t="str">
        <f t="shared" si="3"/>
        <v>NE</v>
      </c>
      <c r="N14" t="str">
        <f t="shared" si="4"/>
        <v>NE</v>
      </c>
      <c r="O14">
        <f t="shared" si="5"/>
        <v>542635.20000000007</v>
      </c>
      <c r="P14">
        <f t="shared" si="6"/>
        <v>663220.80000000005</v>
      </c>
      <c r="Q14">
        <f t="shared" si="7"/>
        <v>970790.40000000002</v>
      </c>
      <c r="R14">
        <f t="shared" si="8"/>
        <v>1186521.6000000001</v>
      </c>
    </row>
    <row r="15" spans="1:18" x14ac:dyDescent="0.25">
      <c r="G15" t="e">
        <f t="shared" si="0"/>
        <v>#DIV/0!</v>
      </c>
      <c r="H15" t="e">
        <f t="shared" si="1"/>
        <v>#DIV/0!</v>
      </c>
      <c r="J15">
        <f t="shared" si="2"/>
        <v>0</v>
      </c>
      <c r="K15">
        <f t="shared" si="10"/>
        <v>0</v>
      </c>
      <c r="M15" t="str">
        <f t="shared" si="3"/>
        <v>ANO</v>
      </c>
      <c r="N15" t="str">
        <f t="shared" si="4"/>
        <v>ANO</v>
      </c>
      <c r="O15">
        <f t="shared" si="5"/>
        <v>0</v>
      </c>
      <c r="P15">
        <f t="shared" si="6"/>
        <v>0</v>
      </c>
      <c r="Q15">
        <f t="shared" si="7"/>
        <v>0</v>
      </c>
      <c r="R15">
        <f t="shared" si="8"/>
        <v>0</v>
      </c>
    </row>
    <row r="16" spans="1:18" x14ac:dyDescent="0.25">
      <c r="G16" t="e">
        <f t="shared" si="0"/>
        <v>#DIV/0!</v>
      </c>
      <c r="H16" t="e">
        <f t="shared" si="1"/>
        <v>#DIV/0!</v>
      </c>
      <c r="J16">
        <f t="shared" si="2"/>
        <v>0</v>
      </c>
      <c r="K16">
        <f t="shared" si="10"/>
        <v>0</v>
      </c>
      <c r="M16" t="str">
        <f t="shared" si="3"/>
        <v>ANO</v>
      </c>
      <c r="N16" t="str">
        <f t="shared" si="4"/>
        <v>ANO</v>
      </c>
      <c r="O16">
        <f t="shared" si="5"/>
        <v>0</v>
      </c>
      <c r="P16">
        <f t="shared" si="6"/>
        <v>0</v>
      </c>
      <c r="Q16">
        <f t="shared" si="7"/>
        <v>0</v>
      </c>
      <c r="R16">
        <f t="shared" si="8"/>
        <v>0</v>
      </c>
    </row>
    <row r="17" spans="2:18" x14ac:dyDescent="0.25">
      <c r="G17" t="e">
        <f t="shared" si="0"/>
        <v>#DIV/0!</v>
      </c>
      <c r="H17" t="e">
        <f t="shared" si="1"/>
        <v>#DIV/0!</v>
      </c>
      <c r="J17">
        <f t="shared" si="2"/>
        <v>0</v>
      </c>
      <c r="K17">
        <f t="shared" si="10"/>
        <v>0</v>
      </c>
      <c r="M17" t="str">
        <f t="shared" si="3"/>
        <v>ANO</v>
      </c>
      <c r="N17" t="str">
        <f t="shared" si="4"/>
        <v>ANO</v>
      </c>
      <c r="O17">
        <f t="shared" si="5"/>
        <v>0</v>
      </c>
      <c r="P17">
        <f t="shared" si="6"/>
        <v>0</v>
      </c>
      <c r="Q17">
        <f t="shared" si="7"/>
        <v>0</v>
      </c>
      <c r="R17">
        <f t="shared" si="8"/>
        <v>0</v>
      </c>
    </row>
    <row r="18" spans="2:18" x14ac:dyDescent="0.25">
      <c r="G18" t="e">
        <f t="shared" si="0"/>
        <v>#DIV/0!</v>
      </c>
      <c r="H18" t="e">
        <f t="shared" si="1"/>
        <v>#DIV/0!</v>
      </c>
      <c r="J18">
        <f t="shared" si="2"/>
        <v>0</v>
      </c>
      <c r="K18">
        <f t="shared" si="10"/>
        <v>0</v>
      </c>
      <c r="M18" t="str">
        <f t="shared" si="3"/>
        <v>ANO</v>
      </c>
      <c r="N18" t="str">
        <f t="shared" si="4"/>
        <v>ANO</v>
      </c>
      <c r="O18">
        <f t="shared" si="5"/>
        <v>0</v>
      </c>
      <c r="P18">
        <f t="shared" si="6"/>
        <v>0</v>
      </c>
      <c r="Q18">
        <f t="shared" si="7"/>
        <v>0</v>
      </c>
      <c r="R18">
        <f t="shared" si="8"/>
        <v>0</v>
      </c>
    </row>
    <row r="21" spans="2:18" x14ac:dyDescent="0.25">
      <c r="B21" t="s">
        <v>14</v>
      </c>
      <c r="C21" t="s">
        <v>13</v>
      </c>
      <c r="E21" t="s">
        <v>15</v>
      </c>
      <c r="F21" t="s">
        <v>10</v>
      </c>
      <c r="G21" t="s">
        <v>11</v>
      </c>
      <c r="H21" t="s">
        <v>12</v>
      </c>
      <c r="J21" t="s">
        <v>24</v>
      </c>
    </row>
    <row r="22" spans="2:18" x14ac:dyDescent="0.25">
      <c r="B22">
        <v>375</v>
      </c>
      <c r="C22">
        <v>1000</v>
      </c>
      <c r="E22">
        <v>8</v>
      </c>
      <c r="F22">
        <v>17</v>
      </c>
      <c r="G22">
        <v>60</v>
      </c>
      <c r="H22">
        <v>100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4" workbookViewId="0">
      <selection activeCell="C24" sqref="C24"/>
    </sheetView>
  </sheetViews>
  <sheetFormatPr defaultRowHeight="15" x14ac:dyDescent="0.25"/>
  <cols>
    <col min="1" max="1" width="14.5703125" bestFit="1" customWidth="1"/>
    <col min="2" max="2" width="10.5703125" customWidth="1"/>
    <col min="3" max="3" width="12.7109375" customWidth="1"/>
    <col min="4" max="4" width="12.5703125" customWidth="1"/>
    <col min="5" max="5" width="13.140625" customWidth="1"/>
    <col min="6" max="7" width="16.28515625" bestFit="1" customWidth="1"/>
    <col min="8" max="8" width="1.7109375" customWidth="1"/>
    <col min="9" max="9" width="8.5703125" customWidth="1"/>
    <col min="10" max="10" width="8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9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36</v>
      </c>
      <c r="B2">
        <v>1347840</v>
      </c>
      <c r="C2">
        <v>50</v>
      </c>
      <c r="D2">
        <v>12500</v>
      </c>
      <c r="E2">
        <v>10</v>
      </c>
      <c r="F2">
        <f>(50*B2-50*A2*D2-C2*A2*D2)/(-1*A2*D2)</f>
        <v>-49.76</v>
      </c>
      <c r="G2">
        <f>(20*B2-20*A2*D2-C2*A2*D2)/(-1*A2*D2)</f>
        <v>10.096</v>
      </c>
      <c r="I2">
        <f>A2*D2*(1+(C2-E2)/50)</f>
        <v>810000</v>
      </c>
      <c r="J2">
        <f>A2*D2*(1+(C2-E2)/20)</f>
        <v>1350000</v>
      </c>
      <c r="L2" t="str">
        <f>IF((N2&lt;=B2),IF(O2&gt;=B2,"ANO","NE"),"NE")</f>
        <v>NE</v>
      </c>
      <c r="M2" t="str">
        <f>IF((P2&lt;=B2),IF(Q2&gt;=B2,"ANO","NE"),"NE")</f>
        <v>ANO</v>
      </c>
      <c r="N2">
        <f t="shared" ref="N2" si="0">I2*0.85</f>
        <v>688500</v>
      </c>
      <c r="O2">
        <f>I2*1.15</f>
        <v>931499.99999999988</v>
      </c>
      <c r="P2">
        <f>J2*0.85</f>
        <v>1147500</v>
      </c>
      <c r="Q2">
        <f>J2*1.15</f>
        <v>1552499.9999999998</v>
      </c>
    </row>
    <row r="3" spans="1:17" x14ac:dyDescent="0.25">
      <c r="F3" t="e">
        <f t="shared" ref="F3:F19" si="1">(50*B3-50*A3*D3-C3*A3*D3)/(-1*A3*D3)</f>
        <v>#DIV/0!</v>
      </c>
      <c r="G3" t="e">
        <f t="shared" ref="G3:G19" si="2">(20*B3-20*A3*D3-C3*A3*D3)/(-1*A3*D3)</f>
        <v>#DIV/0!</v>
      </c>
      <c r="I3">
        <f t="shared" ref="I3:I19" si="3">A3*D3*(1+(C3-E3)/50)</f>
        <v>0</v>
      </c>
      <c r="J3">
        <f t="shared" ref="J3:J19" si="4">A3*D3*(1+(C3-E3)/20)</f>
        <v>0</v>
      </c>
      <c r="L3" t="str">
        <f t="shared" ref="L3:L19" si="5">IF((N3&lt;=B3),IF(O3&gt;=B3,"ANO","NE"),"NE")</f>
        <v>ANO</v>
      </c>
      <c r="M3" t="str">
        <f t="shared" ref="M3:M19" si="6">IF((P3&lt;=B3),IF(Q3&gt;=B3,"ANO","NE"),"NE")</f>
        <v>ANO</v>
      </c>
      <c r="N3">
        <f t="shared" ref="N3" si="7">I3*0.85</f>
        <v>0</v>
      </c>
      <c r="O3">
        <f>I3*1.15</f>
        <v>0</v>
      </c>
      <c r="P3">
        <f>J3*0.85</f>
        <v>0</v>
      </c>
      <c r="Q3">
        <f>J3*1.15</f>
        <v>0</v>
      </c>
    </row>
    <row r="4" spans="1:17" x14ac:dyDescent="0.25">
      <c r="F4" t="e">
        <f t="shared" si="1"/>
        <v>#DIV/0!</v>
      </c>
      <c r="G4" t="e">
        <f t="shared" si="2"/>
        <v>#DIV/0!</v>
      </c>
      <c r="I4">
        <f t="shared" si="3"/>
        <v>0</v>
      </c>
      <c r="J4">
        <f t="shared" si="4"/>
        <v>0</v>
      </c>
      <c r="L4" t="str">
        <f t="shared" si="5"/>
        <v>ANO</v>
      </c>
      <c r="M4" t="str">
        <f t="shared" si="6"/>
        <v>ANO</v>
      </c>
      <c r="N4">
        <f t="shared" ref="N4:N19" si="8">I4*0.85</f>
        <v>0</v>
      </c>
      <c r="O4">
        <f t="shared" ref="O4:O19" si="9">I4*1.15</f>
        <v>0</v>
      </c>
      <c r="P4">
        <f t="shared" ref="P4:P19" si="10">J4*0.85</f>
        <v>0</v>
      </c>
      <c r="Q4">
        <f t="shared" ref="Q4:Q19" si="11">J4*1.15</f>
        <v>0</v>
      </c>
    </row>
    <row r="5" spans="1:17" x14ac:dyDescent="0.25">
      <c r="F5" t="e">
        <f t="shared" si="1"/>
        <v>#DIV/0!</v>
      </c>
      <c r="G5" t="e">
        <f t="shared" si="2"/>
        <v>#DIV/0!</v>
      </c>
      <c r="I5">
        <f t="shared" si="3"/>
        <v>0</v>
      </c>
      <c r="J5">
        <f t="shared" si="4"/>
        <v>0</v>
      </c>
      <c r="L5" t="str">
        <f t="shared" si="5"/>
        <v>ANO</v>
      </c>
      <c r="M5" t="str">
        <f t="shared" si="6"/>
        <v>ANO</v>
      </c>
      <c r="N5">
        <f t="shared" si="8"/>
        <v>0</v>
      </c>
      <c r="O5">
        <f t="shared" si="9"/>
        <v>0</v>
      </c>
      <c r="P5">
        <f t="shared" si="10"/>
        <v>0</v>
      </c>
      <c r="Q5">
        <f t="shared" si="11"/>
        <v>0</v>
      </c>
    </row>
    <row r="6" spans="1:17" x14ac:dyDescent="0.25">
      <c r="F6" t="e">
        <f t="shared" si="1"/>
        <v>#DIV/0!</v>
      </c>
      <c r="G6" t="e">
        <f t="shared" si="2"/>
        <v>#DIV/0!</v>
      </c>
      <c r="I6">
        <f t="shared" si="3"/>
        <v>0</v>
      </c>
      <c r="J6">
        <f t="shared" si="4"/>
        <v>0</v>
      </c>
      <c r="L6" t="str">
        <f t="shared" si="5"/>
        <v>ANO</v>
      </c>
      <c r="M6" t="str">
        <f t="shared" si="6"/>
        <v>ANO</v>
      </c>
      <c r="N6">
        <f t="shared" si="8"/>
        <v>0</v>
      </c>
      <c r="O6">
        <f t="shared" si="9"/>
        <v>0</v>
      </c>
      <c r="P6">
        <f t="shared" si="10"/>
        <v>0</v>
      </c>
      <c r="Q6">
        <f t="shared" si="11"/>
        <v>0</v>
      </c>
    </row>
    <row r="7" spans="1:17" hidden="1" x14ac:dyDescent="0.25">
      <c r="F7" t="e">
        <f t="shared" si="1"/>
        <v>#DIV/0!</v>
      </c>
      <c r="G7" t="e">
        <f t="shared" si="2"/>
        <v>#DIV/0!</v>
      </c>
      <c r="I7">
        <f t="shared" si="3"/>
        <v>0</v>
      </c>
      <c r="J7">
        <f t="shared" si="4"/>
        <v>0</v>
      </c>
      <c r="L7" t="str">
        <f t="shared" si="5"/>
        <v>ANO</v>
      </c>
      <c r="M7" t="str">
        <f t="shared" si="6"/>
        <v>ANO</v>
      </c>
      <c r="N7">
        <f t="shared" si="8"/>
        <v>0</v>
      </c>
      <c r="O7">
        <f t="shared" si="9"/>
        <v>0</v>
      </c>
      <c r="P7">
        <f t="shared" si="10"/>
        <v>0</v>
      </c>
      <c r="Q7">
        <f t="shared" si="11"/>
        <v>0</v>
      </c>
    </row>
    <row r="8" spans="1:17" x14ac:dyDescent="0.25">
      <c r="F8" t="e">
        <f t="shared" si="1"/>
        <v>#DIV/0!</v>
      </c>
      <c r="G8" t="e">
        <f t="shared" si="2"/>
        <v>#DIV/0!</v>
      </c>
      <c r="I8">
        <f t="shared" si="3"/>
        <v>0</v>
      </c>
      <c r="J8">
        <f t="shared" si="4"/>
        <v>0</v>
      </c>
      <c r="L8" t="str">
        <f t="shared" si="5"/>
        <v>ANO</v>
      </c>
      <c r="M8" t="str">
        <f t="shared" si="6"/>
        <v>ANO</v>
      </c>
      <c r="N8">
        <f t="shared" si="8"/>
        <v>0</v>
      </c>
      <c r="O8">
        <f t="shared" si="9"/>
        <v>0</v>
      </c>
      <c r="P8">
        <f t="shared" si="10"/>
        <v>0</v>
      </c>
      <c r="Q8">
        <f t="shared" si="11"/>
        <v>0</v>
      </c>
    </row>
    <row r="9" spans="1:17" x14ac:dyDescent="0.25">
      <c r="F9" t="e">
        <f t="shared" si="1"/>
        <v>#DIV/0!</v>
      </c>
      <c r="G9" t="e">
        <f t="shared" si="2"/>
        <v>#DIV/0!</v>
      </c>
      <c r="I9">
        <f t="shared" si="3"/>
        <v>0</v>
      </c>
      <c r="J9">
        <f t="shared" si="4"/>
        <v>0</v>
      </c>
      <c r="L9" t="str">
        <f t="shared" si="5"/>
        <v>ANO</v>
      </c>
      <c r="M9" t="str">
        <f t="shared" si="6"/>
        <v>ANO</v>
      </c>
      <c r="N9">
        <f t="shared" si="8"/>
        <v>0</v>
      </c>
      <c r="O9">
        <f t="shared" si="9"/>
        <v>0</v>
      </c>
      <c r="P9">
        <f t="shared" si="10"/>
        <v>0</v>
      </c>
      <c r="Q9">
        <f t="shared" si="11"/>
        <v>0</v>
      </c>
    </row>
    <row r="10" spans="1:17" x14ac:dyDescent="0.25">
      <c r="F10" t="e">
        <f t="shared" si="1"/>
        <v>#DIV/0!</v>
      </c>
      <c r="G10" t="e">
        <f t="shared" si="2"/>
        <v>#DIV/0!</v>
      </c>
      <c r="I10">
        <f t="shared" si="3"/>
        <v>0</v>
      </c>
      <c r="J10">
        <f t="shared" si="4"/>
        <v>0</v>
      </c>
      <c r="L10" t="str">
        <f t="shared" si="5"/>
        <v>ANO</v>
      </c>
      <c r="M10" t="str">
        <f t="shared" si="6"/>
        <v>ANO</v>
      </c>
      <c r="N10">
        <f t="shared" si="8"/>
        <v>0</v>
      </c>
      <c r="O10">
        <f t="shared" si="9"/>
        <v>0</v>
      </c>
      <c r="P10">
        <f t="shared" si="10"/>
        <v>0</v>
      </c>
      <c r="Q10">
        <f t="shared" si="11"/>
        <v>0</v>
      </c>
    </row>
    <row r="11" spans="1:17" x14ac:dyDescent="0.25">
      <c r="F11" t="e">
        <f t="shared" si="1"/>
        <v>#DIV/0!</v>
      </c>
      <c r="G11" t="e">
        <f t="shared" si="2"/>
        <v>#DIV/0!</v>
      </c>
      <c r="I11">
        <f t="shared" si="3"/>
        <v>0</v>
      </c>
      <c r="J11">
        <f t="shared" si="4"/>
        <v>0</v>
      </c>
      <c r="L11" t="str">
        <f t="shared" si="5"/>
        <v>ANO</v>
      </c>
      <c r="M11" t="str">
        <f t="shared" si="6"/>
        <v>ANO</v>
      </c>
      <c r="N11">
        <f t="shared" si="8"/>
        <v>0</v>
      </c>
      <c r="O11">
        <f t="shared" si="9"/>
        <v>0</v>
      </c>
      <c r="P11">
        <f t="shared" si="10"/>
        <v>0</v>
      </c>
      <c r="Q11">
        <f t="shared" si="11"/>
        <v>0</v>
      </c>
    </row>
    <row r="12" spans="1:17" x14ac:dyDescent="0.25">
      <c r="F12" t="e">
        <f t="shared" si="1"/>
        <v>#DIV/0!</v>
      </c>
      <c r="G12" t="e">
        <f t="shared" si="2"/>
        <v>#DIV/0!</v>
      </c>
      <c r="I12">
        <f t="shared" si="3"/>
        <v>0</v>
      </c>
      <c r="J12">
        <f t="shared" si="4"/>
        <v>0</v>
      </c>
      <c r="L12" t="str">
        <f t="shared" si="5"/>
        <v>ANO</v>
      </c>
      <c r="M12" t="str">
        <f t="shared" si="6"/>
        <v>ANO</v>
      </c>
      <c r="N12">
        <f t="shared" si="8"/>
        <v>0</v>
      </c>
      <c r="O12">
        <f t="shared" si="9"/>
        <v>0</v>
      </c>
      <c r="P12">
        <f t="shared" si="10"/>
        <v>0</v>
      </c>
      <c r="Q12">
        <f t="shared" si="11"/>
        <v>0</v>
      </c>
    </row>
    <row r="13" spans="1:17" x14ac:dyDescent="0.25">
      <c r="A13" s="1">
        <v>100</v>
      </c>
      <c r="B13" s="1">
        <v>3975</v>
      </c>
      <c r="C13">
        <v>10</v>
      </c>
      <c r="D13">
        <v>30</v>
      </c>
      <c r="E13" s="1">
        <v>3</v>
      </c>
      <c r="F13">
        <f t="shared" si="1"/>
        <v>-6.25</v>
      </c>
      <c r="G13">
        <f t="shared" si="2"/>
        <v>3.5</v>
      </c>
      <c r="I13">
        <f>A13*D13*(1+(C13-E13)/50)</f>
        <v>3420.0000000000005</v>
      </c>
      <c r="J13">
        <f t="shared" si="4"/>
        <v>4050.0000000000005</v>
      </c>
      <c r="L13" t="str">
        <f t="shared" si="5"/>
        <v>NE</v>
      </c>
      <c r="M13" t="str">
        <f t="shared" si="6"/>
        <v>ANO</v>
      </c>
      <c r="N13">
        <f t="shared" si="8"/>
        <v>2907.0000000000005</v>
      </c>
      <c r="O13">
        <f t="shared" si="9"/>
        <v>3933</v>
      </c>
      <c r="P13">
        <f t="shared" si="10"/>
        <v>3442.5000000000005</v>
      </c>
      <c r="Q13">
        <f t="shared" si="11"/>
        <v>4657.5</v>
      </c>
    </row>
    <row r="14" spans="1:17" x14ac:dyDescent="0.25">
      <c r="A14" s="1">
        <v>200</v>
      </c>
      <c r="B14" s="1">
        <v>8813</v>
      </c>
      <c r="C14">
        <v>15</v>
      </c>
      <c r="D14">
        <v>45</v>
      </c>
      <c r="E14" s="1">
        <v>14</v>
      </c>
      <c r="F14">
        <f t="shared" si="1"/>
        <v>16.038888888888888</v>
      </c>
      <c r="G14">
        <f t="shared" si="2"/>
        <v>15.415555555555555</v>
      </c>
      <c r="I14">
        <f t="shared" si="3"/>
        <v>9180</v>
      </c>
      <c r="J14">
        <f t="shared" si="4"/>
        <v>9450</v>
      </c>
      <c r="L14" t="str">
        <f t="shared" si="5"/>
        <v>ANO</v>
      </c>
      <c r="M14" t="str">
        <f t="shared" si="6"/>
        <v>ANO</v>
      </c>
      <c r="N14">
        <f t="shared" si="8"/>
        <v>7803</v>
      </c>
      <c r="O14">
        <f t="shared" si="9"/>
        <v>10557</v>
      </c>
      <c r="P14">
        <f t="shared" si="10"/>
        <v>8032.5</v>
      </c>
      <c r="Q14">
        <f t="shared" si="11"/>
        <v>10867.5</v>
      </c>
    </row>
    <row r="15" spans="1:17" x14ac:dyDescent="0.25">
      <c r="A15">
        <v>200</v>
      </c>
      <c r="B15">
        <v>15945</v>
      </c>
      <c r="C15">
        <v>17</v>
      </c>
      <c r="D15">
        <v>49</v>
      </c>
      <c r="E15">
        <v>7</v>
      </c>
      <c r="F15">
        <f t="shared" si="1"/>
        <v>-14.352040816326531</v>
      </c>
      <c r="G15">
        <f t="shared" si="2"/>
        <v>4.4591836734693882</v>
      </c>
      <c r="I15">
        <f t="shared" si="3"/>
        <v>11760</v>
      </c>
      <c r="J15">
        <f t="shared" si="4"/>
        <v>14700</v>
      </c>
      <c r="L15" t="str">
        <f t="shared" si="5"/>
        <v>NE</v>
      </c>
      <c r="M15" t="str">
        <f t="shared" si="6"/>
        <v>ANO</v>
      </c>
      <c r="N15">
        <f t="shared" si="8"/>
        <v>9996</v>
      </c>
      <c r="O15">
        <f t="shared" si="9"/>
        <v>13523.999999999998</v>
      </c>
      <c r="P15">
        <f t="shared" si="10"/>
        <v>12495</v>
      </c>
      <c r="Q15">
        <f t="shared" si="11"/>
        <v>16905</v>
      </c>
    </row>
    <row r="16" spans="1:17" x14ac:dyDescent="0.25">
      <c r="F16" t="e">
        <f t="shared" si="1"/>
        <v>#DIV/0!</v>
      </c>
      <c r="G16" t="e">
        <f t="shared" si="2"/>
        <v>#DIV/0!</v>
      </c>
      <c r="I16">
        <f t="shared" si="3"/>
        <v>0</v>
      </c>
      <c r="J16">
        <f t="shared" si="4"/>
        <v>0</v>
      </c>
      <c r="L16" t="str">
        <f t="shared" si="5"/>
        <v>ANO</v>
      </c>
      <c r="M16" t="str">
        <f t="shared" si="6"/>
        <v>ANO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</row>
    <row r="17" spans="1:17" x14ac:dyDescent="0.25">
      <c r="F17" t="e">
        <f t="shared" si="1"/>
        <v>#DIV/0!</v>
      </c>
      <c r="G17" t="e">
        <f t="shared" si="2"/>
        <v>#DIV/0!</v>
      </c>
      <c r="I17">
        <f t="shared" si="3"/>
        <v>0</v>
      </c>
      <c r="J17">
        <f t="shared" si="4"/>
        <v>0</v>
      </c>
      <c r="L17" t="str">
        <f t="shared" si="5"/>
        <v>ANO</v>
      </c>
      <c r="M17" t="str">
        <f t="shared" si="6"/>
        <v>ANO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</row>
    <row r="18" spans="1:17" x14ac:dyDescent="0.25">
      <c r="F18" t="e">
        <f t="shared" si="1"/>
        <v>#DIV/0!</v>
      </c>
      <c r="G18" t="e">
        <f t="shared" si="2"/>
        <v>#DIV/0!</v>
      </c>
      <c r="I18">
        <f t="shared" si="3"/>
        <v>0</v>
      </c>
      <c r="J18">
        <f t="shared" si="4"/>
        <v>0</v>
      </c>
      <c r="L18" t="str">
        <f t="shared" si="5"/>
        <v>ANO</v>
      </c>
      <c r="M18" t="str">
        <f t="shared" si="6"/>
        <v>ANO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</row>
    <row r="19" spans="1:17" x14ac:dyDescent="0.25">
      <c r="F19" t="e">
        <f t="shared" si="1"/>
        <v>#DIV/0!</v>
      </c>
      <c r="G19" t="e">
        <f t="shared" si="2"/>
        <v>#DIV/0!</v>
      </c>
      <c r="I19">
        <f t="shared" si="3"/>
        <v>0</v>
      </c>
      <c r="J19">
        <f t="shared" si="4"/>
        <v>0</v>
      </c>
      <c r="L19" t="str">
        <f t="shared" si="5"/>
        <v>ANO</v>
      </c>
      <c r="M19" t="str">
        <f t="shared" si="6"/>
        <v>ANO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</row>
    <row r="23" spans="1:17" x14ac:dyDescent="0.25">
      <c r="A23" t="s">
        <v>14</v>
      </c>
      <c r="B23" t="s">
        <v>13</v>
      </c>
      <c r="D23" t="s">
        <v>15</v>
      </c>
      <c r="E23" t="s">
        <v>10</v>
      </c>
      <c r="F23" t="s">
        <v>11</v>
      </c>
      <c r="G23" t="s">
        <v>12</v>
      </c>
    </row>
    <row r="24" spans="1:17" x14ac:dyDescent="0.25">
      <c r="A24">
        <v>130</v>
      </c>
      <c r="B24">
        <v>5000</v>
      </c>
      <c r="D24">
        <v>8</v>
      </c>
      <c r="E24">
        <v>5</v>
      </c>
    </row>
    <row r="26" spans="1:17" x14ac:dyDescent="0.25">
      <c r="A2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E19" sqref="E19"/>
    </sheetView>
  </sheetViews>
  <sheetFormatPr defaultRowHeight="15" x14ac:dyDescent="0.25"/>
  <cols>
    <col min="1" max="1" width="14.5703125" bestFit="1" customWidth="1"/>
    <col min="2" max="2" width="10.5703125" customWidth="1"/>
    <col min="3" max="3" width="12.7109375" customWidth="1"/>
    <col min="4" max="4" width="12.5703125" customWidth="1"/>
    <col min="5" max="5" width="21.140625" bestFit="1" customWidth="1"/>
    <col min="6" max="7" width="16.28515625" bestFit="1" customWidth="1"/>
    <col min="9" max="9" width="11.28515625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9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3</v>
      </c>
      <c r="B2">
        <v>1630</v>
      </c>
      <c r="C2">
        <v>15</v>
      </c>
      <c r="D2">
        <v>350</v>
      </c>
      <c r="E2">
        <v>0</v>
      </c>
      <c r="F2">
        <f>(50*B2-50*A2*D2-C2*A2*D2)/(-1*A2*D2)</f>
        <v>-12.619047619047619</v>
      </c>
      <c r="G2">
        <f>(20*B2-20*A2*D2-C2*A2*D2)/(-1*A2*D2)</f>
        <v>3.9523809523809526</v>
      </c>
      <c r="I2">
        <f>A2*D2*(1+(C2-E2)/50)</f>
        <v>1365</v>
      </c>
      <c r="J2">
        <f>A2*D2*(1+(C2-E2)/20)</f>
        <v>1837.5</v>
      </c>
      <c r="L2" t="str">
        <f>IF((N2&lt;=B2),IF(O2&gt;=B2,"ANO","NE"),"NE")</f>
        <v>NE</v>
      </c>
      <c r="M2" t="str">
        <f>IF((P2&lt;=B2),IF(Q2&gt;=B2,"ANO","NE"),"NE")</f>
        <v>NE</v>
      </c>
      <c r="N2">
        <f>I2*0.9</f>
        <v>1228.5</v>
      </c>
      <c r="O2">
        <f>I2*1.1</f>
        <v>1501.5000000000002</v>
      </c>
      <c r="P2">
        <f>J2*0.9</f>
        <v>1653.75</v>
      </c>
      <c r="Q2">
        <f>J2*1.1</f>
        <v>2021.2500000000002</v>
      </c>
    </row>
    <row r="3" spans="1:17" x14ac:dyDescent="0.25">
      <c r="A3">
        <v>196</v>
      </c>
      <c r="B3">
        <v>19600</v>
      </c>
      <c r="C3">
        <v>0</v>
      </c>
      <c r="D3">
        <v>100</v>
      </c>
      <c r="E3">
        <v>0</v>
      </c>
      <c r="F3">
        <f t="shared" ref="F3:F19" si="0">(50*B3-50*A3*D3-C3*A3*D3)/(-1*A3*D3)</f>
        <v>0</v>
      </c>
      <c r="G3">
        <f t="shared" ref="G3:G19" si="1">(20*B3-20*A3*D3-C3*A3*D3)/(-1*A3*D3)</f>
        <v>0</v>
      </c>
      <c r="I3">
        <f t="shared" ref="I3:I19" si="2">A3*D3*(1+(C3-E3)/50)</f>
        <v>19600</v>
      </c>
      <c r="J3">
        <f t="shared" ref="J3:J19" si="3">A3*D3*(1+(C3-E3)/20)</f>
        <v>19600</v>
      </c>
      <c r="L3" t="str">
        <f t="shared" ref="L3:L19" si="4">IF((N3&lt;=B3),IF(O3&gt;=B3,"ANO","NE"),"NE")</f>
        <v>ANO</v>
      </c>
      <c r="M3" t="str">
        <f t="shared" ref="M3:M19" si="5">IF((P3&lt;=B3),IF(Q3&gt;=B3,"ANO","NE"),"NE")</f>
        <v>ANO</v>
      </c>
      <c r="N3">
        <f t="shared" ref="N3:N19" si="6">I3*0.9</f>
        <v>17640</v>
      </c>
      <c r="O3">
        <f t="shared" ref="O3:O19" si="7">I3*1.1</f>
        <v>21560</v>
      </c>
      <c r="P3">
        <f t="shared" ref="P3:P19" si="8">J3*0.9</f>
        <v>17640</v>
      </c>
      <c r="Q3">
        <f t="shared" ref="Q3:Q19" si="9">J3*1.1</f>
        <v>21560</v>
      </c>
    </row>
    <row r="4" spans="1:17" x14ac:dyDescent="0.25">
      <c r="A4">
        <v>7138</v>
      </c>
      <c r="B4">
        <v>71232</v>
      </c>
      <c r="C4">
        <v>11</v>
      </c>
      <c r="D4">
        <v>7</v>
      </c>
      <c r="E4">
        <v>0</v>
      </c>
      <c r="F4">
        <f t="shared" si="0"/>
        <v>-10.28047072008966</v>
      </c>
      <c r="G4">
        <f t="shared" si="1"/>
        <v>2.4878117119641354</v>
      </c>
      <c r="I4">
        <f t="shared" si="2"/>
        <v>60958.52</v>
      </c>
      <c r="J4">
        <f t="shared" si="3"/>
        <v>77447.3</v>
      </c>
      <c r="L4" t="str">
        <f t="shared" si="4"/>
        <v>NE</v>
      </c>
      <c r="M4" t="str">
        <f t="shared" si="5"/>
        <v>ANO</v>
      </c>
      <c r="N4">
        <f t="shared" si="6"/>
        <v>54862.667999999998</v>
      </c>
      <c r="O4">
        <f t="shared" si="7"/>
        <v>67054.372000000003</v>
      </c>
      <c r="P4">
        <f t="shared" si="8"/>
        <v>69702.570000000007</v>
      </c>
      <c r="Q4">
        <f t="shared" si="9"/>
        <v>85192.030000000013</v>
      </c>
    </row>
    <row r="5" spans="1:17" x14ac:dyDescent="0.25">
      <c r="F5" t="e">
        <f t="shared" si="0"/>
        <v>#DIV/0!</v>
      </c>
      <c r="G5" t="e">
        <f t="shared" si="1"/>
        <v>#DIV/0!</v>
      </c>
      <c r="I5">
        <f t="shared" si="2"/>
        <v>0</v>
      </c>
      <c r="J5">
        <f t="shared" si="3"/>
        <v>0</v>
      </c>
      <c r="L5" t="str">
        <f t="shared" si="4"/>
        <v>ANO</v>
      </c>
      <c r="M5" t="str">
        <f t="shared" si="5"/>
        <v>ANO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0</v>
      </c>
    </row>
    <row r="6" spans="1:17" x14ac:dyDescent="0.25">
      <c r="F6" t="e">
        <f t="shared" si="0"/>
        <v>#DIV/0!</v>
      </c>
      <c r="G6" t="e">
        <f t="shared" si="1"/>
        <v>#DIV/0!</v>
      </c>
      <c r="I6">
        <f t="shared" si="2"/>
        <v>0</v>
      </c>
      <c r="J6">
        <f t="shared" si="3"/>
        <v>0</v>
      </c>
      <c r="L6" t="str">
        <f t="shared" si="4"/>
        <v>ANO</v>
      </c>
      <c r="M6" t="str">
        <f t="shared" si="5"/>
        <v>ANO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0</v>
      </c>
    </row>
    <row r="7" spans="1:17" hidden="1" x14ac:dyDescent="0.25">
      <c r="F7" t="e">
        <f t="shared" si="0"/>
        <v>#DIV/0!</v>
      </c>
      <c r="G7" t="e">
        <f t="shared" si="1"/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F8" t="e">
        <f t="shared" si="0"/>
        <v>#DIV/0!</v>
      </c>
      <c r="G8" t="e">
        <f t="shared" si="1"/>
        <v>#DIV/0!</v>
      </c>
      <c r="I8">
        <f t="shared" si="2"/>
        <v>0</v>
      </c>
      <c r="J8">
        <f t="shared" si="3"/>
        <v>0</v>
      </c>
      <c r="L8" t="str">
        <f t="shared" si="4"/>
        <v>ANO</v>
      </c>
      <c r="M8" t="str">
        <f t="shared" si="5"/>
        <v>ANO</v>
      </c>
      <c r="N8">
        <f t="shared" si="6"/>
        <v>0</v>
      </c>
      <c r="O8">
        <f t="shared" si="7"/>
        <v>0</v>
      </c>
      <c r="P8">
        <f t="shared" si="8"/>
        <v>0</v>
      </c>
      <c r="Q8">
        <f t="shared" si="9"/>
        <v>0</v>
      </c>
    </row>
    <row r="9" spans="1:17" x14ac:dyDescent="0.25">
      <c r="F9" t="e">
        <f t="shared" si="0"/>
        <v>#DIV/0!</v>
      </c>
      <c r="G9" t="e">
        <f t="shared" si="1"/>
        <v>#DIV/0!</v>
      </c>
      <c r="I9">
        <f t="shared" si="2"/>
        <v>0</v>
      </c>
      <c r="J9">
        <f t="shared" si="3"/>
        <v>0</v>
      </c>
      <c r="L9" t="str">
        <f t="shared" si="4"/>
        <v>ANO</v>
      </c>
      <c r="M9" t="str">
        <f t="shared" si="5"/>
        <v>ANO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</row>
    <row r="10" spans="1:17" x14ac:dyDescent="0.25">
      <c r="F10" t="e">
        <f t="shared" si="0"/>
        <v>#DIV/0!</v>
      </c>
      <c r="G10" t="e">
        <f t="shared" si="1"/>
        <v>#DIV/0!</v>
      </c>
      <c r="I10">
        <f t="shared" si="2"/>
        <v>0</v>
      </c>
      <c r="J10">
        <f t="shared" si="3"/>
        <v>0</v>
      </c>
      <c r="L10" t="str">
        <f t="shared" si="4"/>
        <v>ANO</v>
      </c>
      <c r="M10" t="str">
        <f t="shared" si="5"/>
        <v>ANO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</row>
    <row r="11" spans="1:17" x14ac:dyDescent="0.25">
      <c r="F11" t="e">
        <f t="shared" si="0"/>
        <v>#DIV/0!</v>
      </c>
      <c r="G11" t="e">
        <f t="shared" si="1"/>
        <v>#DIV/0!</v>
      </c>
      <c r="I11">
        <f t="shared" si="2"/>
        <v>0</v>
      </c>
      <c r="J11">
        <f t="shared" si="3"/>
        <v>0</v>
      </c>
      <c r="L11" t="str">
        <f t="shared" si="4"/>
        <v>ANO</v>
      </c>
      <c r="M11" t="str">
        <f t="shared" si="5"/>
        <v>ANO</v>
      </c>
      <c r="N11">
        <f t="shared" si="6"/>
        <v>0</v>
      </c>
      <c r="O11">
        <f t="shared" si="7"/>
        <v>0</v>
      </c>
      <c r="P11">
        <f t="shared" si="8"/>
        <v>0</v>
      </c>
      <c r="Q11">
        <f t="shared" si="9"/>
        <v>0</v>
      </c>
    </row>
    <row r="12" spans="1:17" x14ac:dyDescent="0.25">
      <c r="F12" t="e">
        <f t="shared" si="0"/>
        <v>#DIV/0!</v>
      </c>
      <c r="G12" t="e">
        <f t="shared" si="1"/>
        <v>#DIV/0!</v>
      </c>
      <c r="I12">
        <f t="shared" si="2"/>
        <v>0</v>
      </c>
      <c r="J12">
        <f t="shared" si="3"/>
        <v>0</v>
      </c>
      <c r="L12" t="str">
        <f t="shared" si="4"/>
        <v>ANO</v>
      </c>
      <c r="M12" t="str">
        <f t="shared" si="5"/>
        <v>ANO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</row>
    <row r="13" spans="1:17" x14ac:dyDescent="0.25">
      <c r="A13" s="1">
        <v>192</v>
      </c>
      <c r="B13" s="1">
        <v>530612</v>
      </c>
      <c r="C13">
        <v>26</v>
      </c>
      <c r="D13">
        <v>2000</v>
      </c>
      <c r="E13" s="1">
        <v>3</v>
      </c>
      <c r="F13">
        <f t="shared" si="0"/>
        <v>6.9098958333333336</v>
      </c>
      <c r="G13">
        <f t="shared" si="1"/>
        <v>18.363958333333333</v>
      </c>
      <c r="I13">
        <f t="shared" si="2"/>
        <v>560640</v>
      </c>
      <c r="J13">
        <f t="shared" si="3"/>
        <v>825600</v>
      </c>
      <c r="L13" t="str">
        <f t="shared" si="4"/>
        <v>ANO</v>
      </c>
      <c r="M13" t="str">
        <f t="shared" si="5"/>
        <v>NE</v>
      </c>
      <c r="N13">
        <f t="shared" si="6"/>
        <v>504576</v>
      </c>
      <c r="O13">
        <f t="shared" si="7"/>
        <v>616704</v>
      </c>
      <c r="P13">
        <f t="shared" si="8"/>
        <v>743040</v>
      </c>
      <c r="Q13">
        <f t="shared" si="9"/>
        <v>908160.00000000012</v>
      </c>
    </row>
    <row r="14" spans="1:17" x14ac:dyDescent="0.25">
      <c r="A14">
        <v>27</v>
      </c>
      <c r="B14">
        <v>38880</v>
      </c>
      <c r="C14">
        <v>26</v>
      </c>
      <c r="D14">
        <v>2000</v>
      </c>
      <c r="E14">
        <v>40</v>
      </c>
      <c r="F14">
        <f t="shared" si="0"/>
        <v>40</v>
      </c>
      <c r="G14">
        <f t="shared" si="1"/>
        <v>31.6</v>
      </c>
      <c r="I14">
        <f t="shared" si="2"/>
        <v>38880</v>
      </c>
      <c r="J14">
        <f t="shared" si="3"/>
        <v>16200.000000000002</v>
      </c>
      <c r="L14" t="str">
        <f t="shared" si="4"/>
        <v>ANO</v>
      </c>
      <c r="M14" t="str">
        <f t="shared" si="5"/>
        <v>NE</v>
      </c>
      <c r="N14">
        <f t="shared" si="6"/>
        <v>34992</v>
      </c>
      <c r="O14">
        <f t="shared" si="7"/>
        <v>42768</v>
      </c>
      <c r="P14">
        <f t="shared" si="8"/>
        <v>14580.000000000002</v>
      </c>
      <c r="Q14">
        <f t="shared" si="9"/>
        <v>17820.000000000004</v>
      </c>
    </row>
    <row r="15" spans="1:17" x14ac:dyDescent="0.25">
      <c r="F15" t="e">
        <f t="shared" si="0"/>
        <v>#DIV/0!</v>
      </c>
      <c r="G15" t="e">
        <f t="shared" si="1"/>
        <v>#DIV/0!</v>
      </c>
      <c r="I15">
        <f t="shared" si="2"/>
        <v>0</v>
      </c>
      <c r="J15">
        <f t="shared" si="3"/>
        <v>0</v>
      </c>
      <c r="L15" t="str">
        <f t="shared" si="4"/>
        <v>ANO</v>
      </c>
      <c r="M15" t="str">
        <f t="shared" si="5"/>
        <v>ANO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</row>
    <row r="16" spans="1:17" x14ac:dyDescent="0.25">
      <c r="F16" t="e">
        <f t="shared" si="0"/>
        <v>#DIV/0!</v>
      </c>
      <c r="G16" t="e">
        <f t="shared" si="1"/>
        <v>#DIV/0!</v>
      </c>
      <c r="I16">
        <f t="shared" si="2"/>
        <v>0</v>
      </c>
      <c r="J16">
        <f t="shared" si="3"/>
        <v>0</v>
      </c>
      <c r="L16" t="str">
        <f t="shared" si="4"/>
        <v>ANO</v>
      </c>
      <c r="M16" t="str">
        <f t="shared" si="5"/>
        <v>ANO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</row>
    <row r="17" spans="1:17" x14ac:dyDescent="0.25">
      <c r="F17" t="e">
        <f t="shared" si="0"/>
        <v>#DIV/0!</v>
      </c>
      <c r="G17" t="e">
        <f t="shared" si="1"/>
        <v>#DIV/0!</v>
      </c>
      <c r="I17">
        <f t="shared" si="2"/>
        <v>0</v>
      </c>
      <c r="J17">
        <f t="shared" si="3"/>
        <v>0</v>
      </c>
      <c r="L17" t="str">
        <f t="shared" si="4"/>
        <v>ANO</v>
      </c>
      <c r="M17" t="str">
        <f t="shared" si="5"/>
        <v>ANO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25">
      <c r="F18" t="e">
        <f t="shared" si="0"/>
        <v>#DIV/0!</v>
      </c>
      <c r="G18" t="e">
        <f t="shared" si="1"/>
        <v>#DIV/0!</v>
      </c>
      <c r="I18">
        <f t="shared" si="2"/>
        <v>0</v>
      </c>
      <c r="J18">
        <f t="shared" si="3"/>
        <v>0</v>
      </c>
      <c r="L18" t="str">
        <f t="shared" si="4"/>
        <v>ANO</v>
      </c>
      <c r="M18" t="str">
        <f t="shared" si="5"/>
        <v>ANO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</row>
    <row r="19" spans="1:17" x14ac:dyDescent="0.25">
      <c r="F19" t="e">
        <f t="shared" si="0"/>
        <v>#DIV/0!</v>
      </c>
      <c r="G19" t="e">
        <f t="shared" si="1"/>
        <v>#DIV/0!</v>
      </c>
      <c r="I19">
        <f t="shared" si="2"/>
        <v>0</v>
      </c>
      <c r="J19">
        <f t="shared" si="3"/>
        <v>0</v>
      </c>
      <c r="L19" t="str">
        <f t="shared" si="4"/>
        <v>ANO</v>
      </c>
      <c r="M19" t="str">
        <f t="shared" si="5"/>
        <v>ANO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</row>
    <row r="23" spans="1:17" x14ac:dyDescent="0.25">
      <c r="A23" t="s">
        <v>14</v>
      </c>
      <c r="B23" t="s">
        <v>13</v>
      </c>
      <c r="D23" t="s">
        <v>15</v>
      </c>
      <c r="E23" t="s">
        <v>10</v>
      </c>
      <c r="F23" t="s">
        <v>11</v>
      </c>
      <c r="G23" t="s">
        <v>12</v>
      </c>
    </row>
    <row r="24" spans="1:17" x14ac:dyDescent="0.25">
      <c r="A24">
        <v>10000</v>
      </c>
      <c r="B24">
        <v>1000</v>
      </c>
      <c r="D24">
        <v>4</v>
      </c>
      <c r="E24">
        <v>0</v>
      </c>
      <c r="F24">
        <v>26</v>
      </c>
      <c r="G24">
        <v>2000</v>
      </c>
    </row>
    <row r="26" spans="1:17" x14ac:dyDescent="0.25">
      <c r="A26" t="s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workbookViewId="0">
      <selection activeCell="C19" sqref="C19"/>
    </sheetView>
  </sheetViews>
  <sheetFormatPr defaultRowHeight="15" x14ac:dyDescent="0.25"/>
  <cols>
    <col min="1" max="1" width="14.5703125" bestFit="1" customWidth="1"/>
    <col min="2" max="2" width="17.7109375" customWidth="1"/>
    <col min="3" max="3" width="12.7109375" customWidth="1"/>
    <col min="4" max="4" width="12.5703125" customWidth="1"/>
    <col min="5" max="5" width="21.140625" bestFit="1" customWidth="1"/>
    <col min="6" max="7" width="16.28515625" bestFit="1" customWidth="1"/>
    <col min="9" max="9" width="11.28515625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9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3859</v>
      </c>
      <c r="B2">
        <v>6015666</v>
      </c>
      <c r="C2">
        <v>229</v>
      </c>
      <c r="D2">
        <v>160</v>
      </c>
      <c r="E2">
        <v>35</v>
      </c>
      <c r="F2">
        <f>(50*B2-50*A2*D2-C2*A2*D2)/(-1*A2*D2)</f>
        <v>-208.14579554288676</v>
      </c>
      <c r="G2">
        <f>(20*B2-20*A2*D2-C2*A2*D2)/(-1*A2*D2)</f>
        <v>54.141681782845296</v>
      </c>
      <c r="I2">
        <f>A2*D2*(1+(C2-E2)/50)</f>
        <v>3013107.1999999997</v>
      </c>
      <c r="J2">
        <f>A2*D2*(1+(C2-E2)/20)</f>
        <v>6606608</v>
      </c>
      <c r="L2" t="str">
        <f>IF((N2&lt;=B2),IF(O2&gt;=B2,"ANO","NE"),"NE")</f>
        <v>NE</v>
      </c>
      <c r="M2" t="str">
        <f>IF((P2&lt;=B2),IF(Q2&gt;=B2,"ANO","NE"),"NE")</f>
        <v>ANO</v>
      </c>
      <c r="N2">
        <f>I2*0.9</f>
        <v>2711796.48</v>
      </c>
      <c r="O2">
        <f>I2*1.1</f>
        <v>3314417.92</v>
      </c>
      <c r="P2">
        <f>J2*0.9</f>
        <v>5945947.2000000002</v>
      </c>
      <c r="Q2">
        <f>J2*1.1</f>
        <v>7267268.8000000007</v>
      </c>
    </row>
    <row r="3" spans="1:17" x14ac:dyDescent="0.25">
      <c r="A3">
        <v>3859</v>
      </c>
      <c r="B3" s="4">
        <v>5802847</v>
      </c>
      <c r="C3">
        <v>219</v>
      </c>
      <c r="D3">
        <v>153</v>
      </c>
      <c r="E3">
        <v>35</v>
      </c>
      <c r="F3">
        <f t="shared" ref="F3:F19" si="0">(50*B3-50*A3*D3-C3*A3*D3)/(-1*A3*D3)</f>
        <v>-222.41104658154183</v>
      </c>
      <c r="G3">
        <f t="shared" ref="G3:G19" si="1">(20*B3-20*A3*D3-C3*A3*D3)/(-1*A3*D3)</f>
        <v>42.435581367383264</v>
      </c>
      <c r="I3">
        <f t="shared" ref="I3:I19" si="2">A3*D3*(1+(C3-E3)/50)</f>
        <v>2763198.36</v>
      </c>
      <c r="J3">
        <f t="shared" ref="J3:J19" si="3">A3*D3*(1+(C3-E3)/20)</f>
        <v>6022355.3999999994</v>
      </c>
      <c r="L3" t="str">
        <f t="shared" ref="L3:L19" si="4">IF((N3&lt;=B3),IF(O3&gt;=B3,"ANO","NE"),"NE")</f>
        <v>NE</v>
      </c>
      <c r="M3" t="str">
        <f t="shared" ref="M3:M19" si="5">IF((P3&lt;=B3),IF(Q3&gt;=B3,"ANO","NE"),"NE")</f>
        <v>ANO</v>
      </c>
      <c r="N3">
        <f t="shared" ref="N3:N19" si="6">I3*0.9</f>
        <v>2486878.5239999997</v>
      </c>
      <c r="O3">
        <f t="shared" ref="O3:O19" si="7">I3*1.1</f>
        <v>3039518.196</v>
      </c>
      <c r="P3">
        <f t="shared" ref="P3:P19" si="8">J3*0.9</f>
        <v>5420119.8599999994</v>
      </c>
      <c r="Q3">
        <f t="shared" ref="Q3:Q19" si="9">J3*1.1</f>
        <v>6624590.9399999995</v>
      </c>
    </row>
    <row r="4" spans="1:17" x14ac:dyDescent="0.25">
      <c r="F4" t="e">
        <f t="shared" si="0"/>
        <v>#DIV/0!</v>
      </c>
      <c r="G4" t="e">
        <f t="shared" si="1"/>
        <v>#DIV/0!</v>
      </c>
      <c r="I4">
        <f t="shared" si="2"/>
        <v>0</v>
      </c>
      <c r="J4">
        <f t="shared" si="3"/>
        <v>0</v>
      </c>
      <c r="L4" t="str">
        <f t="shared" si="4"/>
        <v>ANO</v>
      </c>
      <c r="M4" t="str">
        <f t="shared" si="5"/>
        <v>ANO</v>
      </c>
      <c r="N4">
        <f t="shared" si="6"/>
        <v>0</v>
      </c>
      <c r="O4">
        <f t="shared" si="7"/>
        <v>0</v>
      </c>
      <c r="P4">
        <f t="shared" si="8"/>
        <v>0</v>
      </c>
      <c r="Q4">
        <f t="shared" si="9"/>
        <v>0</v>
      </c>
    </row>
    <row r="5" spans="1:17" x14ac:dyDescent="0.25">
      <c r="F5" t="e">
        <f t="shared" si="0"/>
        <v>#DIV/0!</v>
      </c>
      <c r="G5" t="e">
        <f t="shared" si="1"/>
        <v>#DIV/0!</v>
      </c>
      <c r="I5">
        <f t="shared" si="2"/>
        <v>0</v>
      </c>
      <c r="J5">
        <f t="shared" si="3"/>
        <v>0</v>
      </c>
      <c r="L5" t="str">
        <f t="shared" si="4"/>
        <v>ANO</v>
      </c>
      <c r="M5" t="str">
        <f t="shared" si="5"/>
        <v>ANO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0</v>
      </c>
    </row>
    <row r="6" spans="1:17" x14ac:dyDescent="0.25">
      <c r="F6" t="e">
        <f t="shared" si="0"/>
        <v>#DIV/0!</v>
      </c>
      <c r="G6" t="e">
        <f t="shared" si="1"/>
        <v>#DIV/0!</v>
      </c>
      <c r="I6">
        <f t="shared" si="2"/>
        <v>0</v>
      </c>
      <c r="J6">
        <f t="shared" si="3"/>
        <v>0</v>
      </c>
      <c r="L6" t="str">
        <f t="shared" si="4"/>
        <v>ANO</v>
      </c>
      <c r="M6" t="str">
        <f t="shared" si="5"/>
        <v>ANO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0</v>
      </c>
    </row>
    <row r="7" spans="1:17" hidden="1" x14ac:dyDescent="0.25">
      <c r="F7" t="e">
        <f t="shared" si="0"/>
        <v>#DIV/0!</v>
      </c>
      <c r="G7" t="e">
        <f t="shared" si="1"/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F8" t="e">
        <f t="shared" si="0"/>
        <v>#DIV/0!</v>
      </c>
      <c r="G8" t="e">
        <f t="shared" si="1"/>
        <v>#DIV/0!</v>
      </c>
      <c r="I8">
        <f t="shared" si="2"/>
        <v>0</v>
      </c>
      <c r="J8">
        <f t="shared" si="3"/>
        <v>0</v>
      </c>
      <c r="L8" t="str">
        <f t="shared" si="4"/>
        <v>ANO</v>
      </c>
      <c r="M8" t="str">
        <f t="shared" si="5"/>
        <v>ANO</v>
      </c>
      <c r="N8">
        <f t="shared" si="6"/>
        <v>0</v>
      </c>
      <c r="O8">
        <f t="shared" si="7"/>
        <v>0</v>
      </c>
      <c r="P8">
        <f t="shared" si="8"/>
        <v>0</v>
      </c>
      <c r="Q8">
        <f t="shared" si="9"/>
        <v>0</v>
      </c>
    </row>
    <row r="9" spans="1:17" x14ac:dyDescent="0.25">
      <c r="F9" t="e">
        <f t="shared" si="0"/>
        <v>#DIV/0!</v>
      </c>
      <c r="G9" t="e">
        <f t="shared" si="1"/>
        <v>#DIV/0!</v>
      </c>
      <c r="I9">
        <f t="shared" si="2"/>
        <v>0</v>
      </c>
      <c r="J9">
        <f t="shared" si="3"/>
        <v>0</v>
      </c>
      <c r="L9" t="str">
        <f t="shared" si="4"/>
        <v>ANO</v>
      </c>
      <c r="M9" t="str">
        <f t="shared" si="5"/>
        <v>ANO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</row>
    <row r="10" spans="1:17" x14ac:dyDescent="0.25">
      <c r="F10" t="e">
        <f t="shared" si="0"/>
        <v>#DIV/0!</v>
      </c>
      <c r="G10" t="e">
        <f t="shared" si="1"/>
        <v>#DIV/0!</v>
      </c>
      <c r="I10">
        <f t="shared" si="2"/>
        <v>0</v>
      </c>
      <c r="J10">
        <f t="shared" si="3"/>
        <v>0</v>
      </c>
      <c r="L10" t="str">
        <f t="shared" si="4"/>
        <v>ANO</v>
      </c>
      <c r="M10" t="str">
        <f t="shared" si="5"/>
        <v>ANO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</row>
    <row r="11" spans="1:17" x14ac:dyDescent="0.25">
      <c r="A11" t="s">
        <v>25</v>
      </c>
      <c r="F11" t="e">
        <f t="shared" si="0"/>
        <v>#VALUE!</v>
      </c>
      <c r="G11" t="e">
        <f t="shared" si="1"/>
        <v>#VALUE!</v>
      </c>
      <c r="I11" t="e">
        <f t="shared" si="2"/>
        <v>#VALUE!</v>
      </c>
      <c r="J11" t="e">
        <f t="shared" si="3"/>
        <v>#VALUE!</v>
      </c>
      <c r="L11" t="e">
        <f t="shared" si="4"/>
        <v>#VALUE!</v>
      </c>
      <c r="M11" t="e">
        <f t="shared" si="5"/>
        <v>#VALUE!</v>
      </c>
      <c r="N11" t="e">
        <f t="shared" si="6"/>
        <v>#VALUE!</v>
      </c>
      <c r="O11" t="e">
        <f t="shared" si="7"/>
        <v>#VALUE!</v>
      </c>
      <c r="P11" t="e">
        <f t="shared" si="8"/>
        <v>#VALUE!</v>
      </c>
      <c r="Q11" t="e">
        <f t="shared" si="9"/>
        <v>#VALUE!</v>
      </c>
    </row>
    <row r="12" spans="1:17" x14ac:dyDescent="0.25">
      <c r="A12" s="1">
        <v>50</v>
      </c>
      <c r="B12" s="1">
        <v>26856</v>
      </c>
      <c r="C12">
        <v>57</v>
      </c>
      <c r="D12">
        <v>150</v>
      </c>
      <c r="E12" s="1">
        <v>0</v>
      </c>
      <c r="F12">
        <f t="shared" si="0"/>
        <v>-72.040000000000006</v>
      </c>
      <c r="G12">
        <f t="shared" si="1"/>
        <v>5.3840000000000003</v>
      </c>
      <c r="I12">
        <f t="shared" si="2"/>
        <v>16049.999999999998</v>
      </c>
      <c r="J12">
        <f t="shared" si="3"/>
        <v>28875</v>
      </c>
      <c r="L12" t="str">
        <f t="shared" si="4"/>
        <v>NE</v>
      </c>
      <c r="M12" t="str">
        <f t="shared" si="5"/>
        <v>ANO</v>
      </c>
      <c r="N12">
        <f t="shared" si="6"/>
        <v>14444.999999999998</v>
      </c>
      <c r="O12">
        <f t="shared" si="7"/>
        <v>17655</v>
      </c>
      <c r="P12">
        <f t="shared" si="8"/>
        <v>25987.5</v>
      </c>
      <c r="Q12">
        <f t="shared" si="9"/>
        <v>31762.500000000004</v>
      </c>
    </row>
    <row r="13" spans="1:17" x14ac:dyDescent="0.25">
      <c r="A13" s="1">
        <v>50</v>
      </c>
      <c r="B13" s="1">
        <v>9238</v>
      </c>
      <c r="C13">
        <v>51</v>
      </c>
      <c r="D13">
        <v>135</v>
      </c>
      <c r="E13" s="1">
        <v>42</v>
      </c>
      <c r="F13">
        <f t="shared" si="0"/>
        <v>32.57037037037037</v>
      </c>
      <c r="G13">
        <f t="shared" si="1"/>
        <v>43.628148148148149</v>
      </c>
      <c r="I13">
        <f t="shared" si="2"/>
        <v>7965</v>
      </c>
      <c r="J13">
        <f t="shared" si="3"/>
        <v>9787.5</v>
      </c>
      <c r="L13" t="str">
        <f t="shared" si="4"/>
        <v>NE</v>
      </c>
      <c r="M13" t="str">
        <f t="shared" si="5"/>
        <v>ANO</v>
      </c>
      <c r="N13">
        <f t="shared" si="6"/>
        <v>7168.5</v>
      </c>
      <c r="O13">
        <f t="shared" si="7"/>
        <v>8761.5</v>
      </c>
      <c r="P13">
        <f t="shared" si="8"/>
        <v>8808.75</v>
      </c>
      <c r="Q13">
        <f t="shared" si="9"/>
        <v>10766.25</v>
      </c>
    </row>
    <row r="14" spans="1:17" x14ac:dyDescent="0.25">
      <c r="A14">
        <v>50</v>
      </c>
      <c r="B14">
        <v>37700</v>
      </c>
      <c r="C14">
        <v>63</v>
      </c>
      <c r="D14">
        <v>165</v>
      </c>
      <c r="E14">
        <v>0</v>
      </c>
      <c r="F14">
        <f t="shared" si="0"/>
        <v>-115.48484848484848</v>
      </c>
      <c r="G14">
        <f t="shared" si="1"/>
        <v>-8.3939393939393945</v>
      </c>
      <c r="I14">
        <f t="shared" si="2"/>
        <v>18645</v>
      </c>
      <c r="J14">
        <f t="shared" si="3"/>
        <v>34237.5</v>
      </c>
      <c r="L14" t="str">
        <f t="shared" si="4"/>
        <v>NE</v>
      </c>
      <c r="M14" t="str">
        <f t="shared" si="5"/>
        <v>NE</v>
      </c>
      <c r="N14">
        <f t="shared" si="6"/>
        <v>16780.5</v>
      </c>
      <c r="O14">
        <f t="shared" si="7"/>
        <v>20509.5</v>
      </c>
      <c r="P14">
        <f t="shared" si="8"/>
        <v>30813.75</v>
      </c>
      <c r="Q14">
        <f t="shared" si="9"/>
        <v>37661.25</v>
      </c>
    </row>
    <row r="15" spans="1:17" x14ac:dyDescent="0.25">
      <c r="A15">
        <v>50</v>
      </c>
      <c r="B15">
        <v>34806</v>
      </c>
      <c r="C15">
        <v>67</v>
      </c>
      <c r="D15">
        <v>168</v>
      </c>
      <c r="E15">
        <v>9</v>
      </c>
      <c r="F15">
        <f t="shared" si="0"/>
        <v>-90.178571428571431</v>
      </c>
      <c r="G15">
        <f t="shared" si="1"/>
        <v>4.128571428571429</v>
      </c>
      <c r="I15">
        <f t="shared" si="2"/>
        <v>18144</v>
      </c>
      <c r="J15">
        <f t="shared" si="3"/>
        <v>32760</v>
      </c>
      <c r="L15" t="str">
        <f t="shared" si="4"/>
        <v>NE</v>
      </c>
      <c r="M15" t="str">
        <f t="shared" si="5"/>
        <v>ANO</v>
      </c>
      <c r="N15">
        <f t="shared" si="6"/>
        <v>16329.6</v>
      </c>
      <c r="O15">
        <f t="shared" si="7"/>
        <v>19958.400000000001</v>
      </c>
      <c r="P15">
        <f t="shared" si="8"/>
        <v>29484</v>
      </c>
      <c r="Q15">
        <f t="shared" si="9"/>
        <v>36036</v>
      </c>
    </row>
    <row r="16" spans="1:17" x14ac:dyDescent="0.25">
      <c r="A16">
        <v>50</v>
      </c>
      <c r="B16">
        <v>32103</v>
      </c>
      <c r="C16">
        <v>60</v>
      </c>
      <c r="D16">
        <v>168</v>
      </c>
      <c r="E16">
        <v>3</v>
      </c>
      <c r="F16">
        <f t="shared" si="0"/>
        <v>-81.089285714285708</v>
      </c>
      <c r="G16">
        <f t="shared" si="1"/>
        <v>3.5642857142857145</v>
      </c>
      <c r="I16">
        <f t="shared" si="2"/>
        <v>17975.999999999996</v>
      </c>
      <c r="J16">
        <f t="shared" si="3"/>
        <v>32340</v>
      </c>
      <c r="L16" t="str">
        <f t="shared" si="4"/>
        <v>NE</v>
      </c>
      <c r="M16" t="str">
        <f t="shared" si="5"/>
        <v>ANO</v>
      </c>
      <c r="N16">
        <f t="shared" si="6"/>
        <v>16178.399999999998</v>
      </c>
      <c r="O16">
        <f t="shared" si="7"/>
        <v>19773.599999999999</v>
      </c>
      <c r="P16">
        <f t="shared" si="8"/>
        <v>29106</v>
      </c>
      <c r="Q16">
        <f t="shared" si="9"/>
        <v>35574</v>
      </c>
    </row>
    <row r="17" spans="1:17" x14ac:dyDescent="0.25">
      <c r="F17" t="e">
        <f t="shared" si="0"/>
        <v>#DIV/0!</v>
      </c>
      <c r="G17" t="e">
        <f t="shared" si="1"/>
        <v>#DIV/0!</v>
      </c>
      <c r="I17">
        <f t="shared" si="2"/>
        <v>0</v>
      </c>
      <c r="J17">
        <f t="shared" si="3"/>
        <v>0</v>
      </c>
      <c r="L17" t="str">
        <f t="shared" si="4"/>
        <v>ANO</v>
      </c>
      <c r="M17" t="str">
        <f t="shared" si="5"/>
        <v>ANO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25">
      <c r="F18" t="e">
        <f t="shared" si="0"/>
        <v>#DIV/0!</v>
      </c>
      <c r="G18" t="e">
        <f t="shared" si="1"/>
        <v>#DIV/0!</v>
      </c>
      <c r="I18">
        <f t="shared" si="2"/>
        <v>0</v>
      </c>
      <c r="J18">
        <f t="shared" si="3"/>
        <v>0</v>
      </c>
      <c r="L18" t="str">
        <f t="shared" si="4"/>
        <v>ANO</v>
      </c>
      <c r="M18" t="str">
        <f t="shared" si="5"/>
        <v>ANO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</row>
    <row r="19" spans="1:17" x14ac:dyDescent="0.25">
      <c r="F19" t="e">
        <f t="shared" si="0"/>
        <v>#DIV/0!</v>
      </c>
      <c r="G19" t="e">
        <f t="shared" si="1"/>
        <v>#DIV/0!</v>
      </c>
      <c r="I19">
        <f t="shared" si="2"/>
        <v>0</v>
      </c>
      <c r="J19">
        <f t="shared" si="3"/>
        <v>0</v>
      </c>
      <c r="L19" t="str">
        <f t="shared" si="4"/>
        <v>ANO</v>
      </c>
      <c r="M19" t="str">
        <f t="shared" si="5"/>
        <v>ANO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</row>
    <row r="23" spans="1:17" x14ac:dyDescent="0.25">
      <c r="A23" t="s">
        <v>14</v>
      </c>
      <c r="B23" t="s">
        <v>13</v>
      </c>
      <c r="D23" t="s">
        <v>15</v>
      </c>
      <c r="E23" t="s">
        <v>10</v>
      </c>
      <c r="F23" t="s">
        <v>11</v>
      </c>
      <c r="G23" t="s">
        <v>12</v>
      </c>
      <c r="I23" t="s">
        <v>26</v>
      </c>
    </row>
    <row r="24" spans="1:17" x14ac:dyDescent="0.25">
      <c r="A24" s="3">
        <v>1040</v>
      </c>
      <c r="B24" s="3">
        <v>5000</v>
      </c>
      <c r="C24" s="3"/>
      <c r="D24" s="3">
        <v>10</v>
      </c>
      <c r="E24" s="3">
        <v>35</v>
      </c>
      <c r="F24" s="3">
        <v>20</v>
      </c>
      <c r="G24" s="3">
        <v>50</v>
      </c>
      <c r="H24" s="3"/>
      <c r="I24" s="3"/>
    </row>
    <row r="25" spans="1:17" x14ac:dyDescent="0.25">
      <c r="A25" t="s">
        <v>21</v>
      </c>
      <c r="B25" t="s">
        <v>22</v>
      </c>
      <c r="D25" t="s">
        <v>48</v>
      </c>
    </row>
    <row r="26" spans="1:17" x14ac:dyDescent="0.25">
      <c r="A26">
        <v>100</v>
      </c>
      <c r="B26">
        <v>150000</v>
      </c>
      <c r="C26">
        <f t="shared" ref="C26:C46" si="10">B26/A26</f>
        <v>1500</v>
      </c>
      <c r="D26">
        <f>B26/A26/1040</f>
        <v>1.4423076923076923</v>
      </c>
    </row>
    <row r="27" spans="1:17" x14ac:dyDescent="0.25">
      <c r="A27">
        <v>200</v>
      </c>
      <c r="B27">
        <v>600000</v>
      </c>
      <c r="C27">
        <f t="shared" si="10"/>
        <v>3000</v>
      </c>
      <c r="D27">
        <f t="shared" ref="D27:D46" si="11">B27/A27/1040</f>
        <v>2.8846153846153846</v>
      </c>
    </row>
    <row r="28" spans="1:17" x14ac:dyDescent="0.25">
      <c r="A28">
        <v>200</v>
      </c>
      <c r="B28">
        <v>550000</v>
      </c>
      <c r="C28">
        <f t="shared" si="10"/>
        <v>2750</v>
      </c>
      <c r="D28">
        <f t="shared" si="11"/>
        <v>2.6442307692307692</v>
      </c>
    </row>
    <row r="29" spans="1:17" x14ac:dyDescent="0.25">
      <c r="A29">
        <v>100</v>
      </c>
      <c r="B29">
        <v>150000</v>
      </c>
      <c r="C29">
        <f t="shared" si="10"/>
        <v>1500</v>
      </c>
      <c r="D29">
        <f t="shared" si="11"/>
        <v>1.4423076923076923</v>
      </c>
      <c r="G29" t="s">
        <v>36</v>
      </c>
      <c r="H29" t="s">
        <v>37</v>
      </c>
      <c r="I29" t="s">
        <v>38</v>
      </c>
    </row>
    <row r="30" spans="1:17" x14ac:dyDescent="0.25">
      <c r="A30">
        <v>200</v>
      </c>
      <c r="B30">
        <v>250000</v>
      </c>
      <c r="C30">
        <f t="shared" si="10"/>
        <v>1250</v>
      </c>
      <c r="D30">
        <f t="shared" si="11"/>
        <v>1.2019230769230769</v>
      </c>
      <c r="H30">
        <v>20</v>
      </c>
      <c r="I30">
        <v>14</v>
      </c>
    </row>
    <row r="31" spans="1:17" x14ac:dyDescent="0.25">
      <c r="A31">
        <v>100</v>
      </c>
      <c r="B31">
        <v>250000</v>
      </c>
      <c r="C31">
        <f t="shared" si="10"/>
        <v>2500</v>
      </c>
      <c r="D31">
        <f t="shared" si="11"/>
        <v>2.4038461538461537</v>
      </c>
      <c r="H31">
        <v>229</v>
      </c>
      <c r="I31">
        <v>160</v>
      </c>
    </row>
    <row r="32" spans="1:17" x14ac:dyDescent="0.25">
      <c r="A32">
        <v>200</v>
      </c>
      <c r="B32">
        <v>575000</v>
      </c>
      <c r="C32">
        <f t="shared" si="10"/>
        <v>2875</v>
      </c>
      <c r="D32">
        <f t="shared" si="11"/>
        <v>2.7644230769230771</v>
      </c>
    </row>
    <row r="33" spans="1:9" x14ac:dyDescent="0.25">
      <c r="A33">
        <v>100</v>
      </c>
      <c r="B33">
        <v>325000</v>
      </c>
      <c r="C33">
        <f t="shared" si="10"/>
        <v>3250</v>
      </c>
      <c r="D33">
        <f t="shared" si="11"/>
        <v>3.125</v>
      </c>
      <c r="G33">
        <v>993</v>
      </c>
      <c r="H33">
        <v>219</v>
      </c>
      <c r="I33">
        <v>153</v>
      </c>
    </row>
    <row r="34" spans="1:9" x14ac:dyDescent="0.25">
      <c r="A34">
        <v>200</v>
      </c>
      <c r="B34">
        <v>625000</v>
      </c>
      <c r="C34">
        <f t="shared" si="10"/>
        <v>3125</v>
      </c>
      <c r="D34">
        <f t="shared" si="11"/>
        <v>3.0048076923076925</v>
      </c>
    </row>
    <row r="35" spans="1:9" x14ac:dyDescent="0.25">
      <c r="A35">
        <v>100</v>
      </c>
      <c r="B35">
        <v>100000</v>
      </c>
      <c r="C35">
        <f t="shared" si="10"/>
        <v>1000</v>
      </c>
      <c r="D35">
        <f t="shared" si="11"/>
        <v>0.96153846153846156</v>
      </c>
    </row>
    <row r="36" spans="1:9" x14ac:dyDescent="0.25">
      <c r="A36">
        <v>200</v>
      </c>
      <c r="B36">
        <v>575000</v>
      </c>
      <c r="C36">
        <f t="shared" si="10"/>
        <v>2875</v>
      </c>
      <c r="D36">
        <f t="shared" si="11"/>
        <v>2.7644230769230771</v>
      </c>
    </row>
    <row r="37" spans="1:9" x14ac:dyDescent="0.25">
      <c r="A37">
        <v>100</v>
      </c>
      <c r="B37">
        <v>125000</v>
      </c>
      <c r="C37">
        <f t="shared" si="10"/>
        <v>1250</v>
      </c>
      <c r="D37">
        <f t="shared" si="11"/>
        <v>1.2019230769230769</v>
      </c>
    </row>
    <row r="38" spans="1:9" x14ac:dyDescent="0.25">
      <c r="A38">
        <v>200</v>
      </c>
      <c r="B38">
        <v>750000</v>
      </c>
      <c r="C38">
        <f t="shared" si="10"/>
        <v>3750</v>
      </c>
      <c r="D38">
        <f t="shared" si="11"/>
        <v>3.6057692307692308</v>
      </c>
    </row>
    <row r="39" spans="1:9" x14ac:dyDescent="0.25">
      <c r="A39">
        <v>100</v>
      </c>
      <c r="B39">
        <v>375000</v>
      </c>
      <c r="C39">
        <f t="shared" si="10"/>
        <v>3750</v>
      </c>
      <c r="D39">
        <f t="shared" si="11"/>
        <v>3.6057692307692308</v>
      </c>
    </row>
    <row r="40" spans="1:9" x14ac:dyDescent="0.25">
      <c r="A40">
        <v>200</v>
      </c>
      <c r="B40">
        <v>375000</v>
      </c>
      <c r="C40">
        <f t="shared" si="10"/>
        <v>1875</v>
      </c>
      <c r="D40">
        <f t="shared" si="11"/>
        <v>1.8028846153846154</v>
      </c>
    </row>
    <row r="41" spans="1:9" x14ac:dyDescent="0.25">
      <c r="A41">
        <v>100</v>
      </c>
      <c r="B41">
        <v>225000</v>
      </c>
      <c r="C41">
        <f t="shared" si="10"/>
        <v>2250</v>
      </c>
      <c r="D41">
        <f t="shared" si="11"/>
        <v>2.1634615384615383</v>
      </c>
    </row>
    <row r="42" spans="1:9" x14ac:dyDescent="0.25">
      <c r="A42">
        <v>200</v>
      </c>
      <c r="B42">
        <v>200000</v>
      </c>
      <c r="C42">
        <f t="shared" si="10"/>
        <v>1000</v>
      </c>
      <c r="D42">
        <f t="shared" si="11"/>
        <v>0.96153846153846156</v>
      </c>
    </row>
    <row r="43" spans="1:9" x14ac:dyDescent="0.25">
      <c r="A43">
        <v>100</v>
      </c>
      <c r="B43">
        <v>125000</v>
      </c>
      <c r="C43">
        <f t="shared" si="10"/>
        <v>1250</v>
      </c>
      <c r="D43">
        <f t="shared" si="11"/>
        <v>1.2019230769230769</v>
      </c>
    </row>
    <row r="44" spans="1:9" x14ac:dyDescent="0.25">
      <c r="A44">
        <v>25</v>
      </c>
      <c r="B44">
        <v>50000</v>
      </c>
      <c r="C44">
        <f t="shared" si="10"/>
        <v>2000</v>
      </c>
      <c r="D44">
        <f t="shared" si="11"/>
        <v>1.9230769230769231</v>
      </c>
    </row>
    <row r="45" spans="1:9" x14ac:dyDescent="0.25">
      <c r="A45">
        <v>50</v>
      </c>
      <c r="B45">
        <v>175000</v>
      </c>
      <c r="C45">
        <f t="shared" si="10"/>
        <v>3500</v>
      </c>
      <c r="D45">
        <f t="shared" si="11"/>
        <v>3.3653846153846154</v>
      </c>
    </row>
    <row r="46" spans="1:9" x14ac:dyDescent="0.25">
      <c r="A46">
        <v>200</v>
      </c>
      <c r="B46">
        <v>250000</v>
      </c>
      <c r="C46">
        <f t="shared" si="10"/>
        <v>1250</v>
      </c>
      <c r="D46">
        <f t="shared" si="11"/>
        <v>1.2019230769230769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G40" sqref="G40"/>
    </sheetView>
  </sheetViews>
  <sheetFormatPr defaultRowHeight="15" x14ac:dyDescent="0.25"/>
  <cols>
    <col min="1" max="1" width="14.5703125" bestFit="1" customWidth="1"/>
    <col min="2" max="2" width="10.5703125" customWidth="1"/>
    <col min="3" max="3" width="12.7109375" customWidth="1"/>
    <col min="4" max="4" width="12.5703125" customWidth="1"/>
    <col min="5" max="5" width="21.140625" bestFit="1" customWidth="1"/>
    <col min="6" max="7" width="16.28515625" bestFit="1" customWidth="1"/>
    <col min="9" max="9" width="11.28515625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9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723</v>
      </c>
      <c r="B2">
        <v>230088</v>
      </c>
      <c r="C2">
        <v>11</v>
      </c>
      <c r="D2">
        <v>225</v>
      </c>
      <c r="E2">
        <v>4</v>
      </c>
      <c r="F2">
        <f>(50*B2-50*A2*D2-C2*A2*D2)/(-1*A2*D2)</f>
        <v>-9.7201475334255409</v>
      </c>
      <c r="G2">
        <f>(20*B2-20*A2*D2-C2*A2*D2)/(-1*A2*D2)</f>
        <v>2.7119409866297834</v>
      </c>
      <c r="I2">
        <f>A2*D2*(1+(C2-E2)/50)</f>
        <v>185449.50000000003</v>
      </c>
      <c r="J2">
        <f>A2*D2*(1+(C2-E2)/20)</f>
        <v>219611.25</v>
      </c>
      <c r="L2" t="str">
        <f>IF((N2&lt;=B2),IF(O2&gt;=B2,"ANO","NE"),"NE")</f>
        <v>NE</v>
      </c>
      <c r="M2" t="str">
        <f>IF((P2&lt;=B2),IF(Q2&gt;=B2,"ANO","NE"),"NE")</f>
        <v>ANO</v>
      </c>
      <c r="N2">
        <f>I2*0.9</f>
        <v>166904.55000000002</v>
      </c>
      <c r="O2">
        <f>I2*1.1</f>
        <v>203994.45000000004</v>
      </c>
      <c r="P2">
        <f>J2*0.9</f>
        <v>197650.125</v>
      </c>
      <c r="Q2">
        <f>J2*1.1</f>
        <v>241572.37500000003</v>
      </c>
    </row>
    <row r="3" spans="1:17" x14ac:dyDescent="0.25">
      <c r="A3">
        <v>413</v>
      </c>
      <c r="B3">
        <v>247701</v>
      </c>
      <c r="C3">
        <v>11</v>
      </c>
      <c r="D3">
        <v>550</v>
      </c>
      <c r="E3">
        <v>10</v>
      </c>
      <c r="F3">
        <f t="shared" ref="F3:F19" si="0">(50*B3-50*A3*D3-C3*A3*D3)/(-1*A3*D3)</f>
        <v>6.476337222099934</v>
      </c>
      <c r="G3">
        <f t="shared" ref="G3:G19" si="1">(20*B3-20*A3*D3-C3*A3*D3)/(-1*A3*D3)</f>
        <v>9.1905348888399736</v>
      </c>
      <c r="I3">
        <f t="shared" ref="I3:I19" si="2">A3*D3*(1+(C3-E3)/50)</f>
        <v>231693</v>
      </c>
      <c r="J3">
        <f t="shared" ref="J3:J19" si="3">A3*D3*(1+(C3-E3)/20)</f>
        <v>238507.5</v>
      </c>
      <c r="L3" t="str">
        <f t="shared" ref="L3:L19" si="4">IF((N3&lt;=B3),IF(O3&gt;=B3,"ANO","NE"),"NE")</f>
        <v>ANO</v>
      </c>
      <c r="M3" t="str">
        <f t="shared" ref="M3:M19" si="5">IF((P3&lt;=B3),IF(Q3&gt;=B3,"ANO","NE"),"NE")</f>
        <v>ANO</v>
      </c>
      <c r="N3">
        <f t="shared" ref="N3:N19" si="6">I3*0.9</f>
        <v>208523.7</v>
      </c>
      <c r="O3">
        <f t="shared" ref="O3:O19" si="7">I3*1.1</f>
        <v>254862.30000000002</v>
      </c>
      <c r="P3">
        <f t="shared" ref="P3:P19" si="8">J3*0.9</f>
        <v>214656.75</v>
      </c>
      <c r="Q3">
        <f t="shared" ref="Q3:Q19" si="9">J3*1.1</f>
        <v>262358.25</v>
      </c>
    </row>
    <row r="4" spans="1:17" x14ac:dyDescent="0.25">
      <c r="A4">
        <v>3251</v>
      </c>
      <c r="B4">
        <v>1980406</v>
      </c>
      <c r="C4">
        <v>11</v>
      </c>
      <c r="D4">
        <v>550</v>
      </c>
      <c r="E4">
        <v>7</v>
      </c>
      <c r="F4">
        <f t="shared" si="0"/>
        <v>5.6210676435222728</v>
      </c>
      <c r="G4">
        <f t="shared" si="1"/>
        <v>8.8484270574089088</v>
      </c>
      <c r="I4">
        <f t="shared" si="2"/>
        <v>1931094.0000000002</v>
      </c>
      <c r="J4">
        <f t="shared" si="3"/>
        <v>2145660</v>
      </c>
      <c r="L4" t="str">
        <f t="shared" si="4"/>
        <v>ANO</v>
      </c>
      <c r="M4" t="str">
        <f t="shared" si="5"/>
        <v>ANO</v>
      </c>
      <c r="N4">
        <f t="shared" si="6"/>
        <v>1737984.6000000003</v>
      </c>
      <c r="O4">
        <f t="shared" si="7"/>
        <v>2124203.4000000004</v>
      </c>
      <c r="P4">
        <f t="shared" si="8"/>
        <v>1931094</v>
      </c>
      <c r="Q4">
        <f t="shared" si="9"/>
        <v>2360226</v>
      </c>
    </row>
    <row r="5" spans="1:17" x14ac:dyDescent="0.25">
      <c r="A5">
        <v>3077</v>
      </c>
      <c r="B5">
        <v>1535300</v>
      </c>
      <c r="C5">
        <v>11</v>
      </c>
      <c r="D5">
        <v>550</v>
      </c>
      <c r="E5">
        <v>14</v>
      </c>
      <c r="F5">
        <f t="shared" si="0"/>
        <v>15.639997636422725</v>
      </c>
      <c r="G5">
        <f t="shared" si="1"/>
        <v>12.855999054569091</v>
      </c>
      <c r="I5">
        <f t="shared" si="2"/>
        <v>1590809</v>
      </c>
      <c r="J5">
        <f t="shared" si="3"/>
        <v>1438497.5</v>
      </c>
      <c r="L5" t="str">
        <f t="shared" si="4"/>
        <v>ANO</v>
      </c>
      <c r="M5" t="str">
        <f t="shared" si="5"/>
        <v>ANO</v>
      </c>
      <c r="N5">
        <f t="shared" si="6"/>
        <v>1431728.1</v>
      </c>
      <c r="O5">
        <f t="shared" si="7"/>
        <v>1749889.9000000001</v>
      </c>
      <c r="P5">
        <f t="shared" si="8"/>
        <v>1294647.75</v>
      </c>
      <c r="Q5">
        <f t="shared" si="9"/>
        <v>1582347.2500000002</v>
      </c>
    </row>
    <row r="6" spans="1:17" x14ac:dyDescent="0.25">
      <c r="F6" t="e">
        <f t="shared" si="0"/>
        <v>#DIV/0!</v>
      </c>
      <c r="G6" t="e">
        <f t="shared" si="1"/>
        <v>#DIV/0!</v>
      </c>
      <c r="I6">
        <f t="shared" si="2"/>
        <v>0</v>
      </c>
      <c r="J6">
        <f t="shared" si="3"/>
        <v>0</v>
      </c>
      <c r="L6" t="str">
        <f t="shared" si="4"/>
        <v>ANO</v>
      </c>
      <c r="M6" t="str">
        <f t="shared" si="5"/>
        <v>ANO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0</v>
      </c>
    </row>
    <row r="7" spans="1:17" hidden="1" x14ac:dyDescent="0.25">
      <c r="F7" t="e">
        <f t="shared" si="0"/>
        <v>#DIV/0!</v>
      </c>
      <c r="G7" t="e">
        <f t="shared" si="1"/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F8" t="e">
        <f t="shared" si="0"/>
        <v>#DIV/0!</v>
      </c>
      <c r="G8" t="e">
        <f t="shared" si="1"/>
        <v>#DIV/0!</v>
      </c>
      <c r="I8">
        <f t="shared" si="2"/>
        <v>0</v>
      </c>
      <c r="J8">
        <f t="shared" si="3"/>
        <v>0</v>
      </c>
      <c r="L8" t="str">
        <f t="shared" si="4"/>
        <v>ANO</v>
      </c>
      <c r="M8" t="str">
        <f t="shared" si="5"/>
        <v>ANO</v>
      </c>
      <c r="N8">
        <f t="shared" si="6"/>
        <v>0</v>
      </c>
      <c r="O8">
        <f t="shared" si="7"/>
        <v>0</v>
      </c>
      <c r="P8">
        <f t="shared" si="8"/>
        <v>0</v>
      </c>
      <c r="Q8">
        <f t="shared" si="9"/>
        <v>0</v>
      </c>
    </row>
    <row r="9" spans="1:17" x14ac:dyDescent="0.25">
      <c r="F9" t="e">
        <f t="shared" si="0"/>
        <v>#DIV/0!</v>
      </c>
      <c r="G9" t="e">
        <f t="shared" si="1"/>
        <v>#DIV/0!</v>
      </c>
      <c r="I9">
        <f t="shared" si="2"/>
        <v>0</v>
      </c>
      <c r="J9">
        <f t="shared" si="3"/>
        <v>0</v>
      </c>
      <c r="L9" t="str">
        <f t="shared" si="4"/>
        <v>ANO</v>
      </c>
      <c r="M9" t="str">
        <f t="shared" si="5"/>
        <v>ANO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</row>
    <row r="10" spans="1:17" x14ac:dyDescent="0.25">
      <c r="F10" t="e">
        <f t="shared" si="0"/>
        <v>#DIV/0!</v>
      </c>
      <c r="G10" t="e">
        <f t="shared" si="1"/>
        <v>#DIV/0!</v>
      </c>
      <c r="I10">
        <f t="shared" si="2"/>
        <v>0</v>
      </c>
      <c r="J10">
        <f t="shared" si="3"/>
        <v>0</v>
      </c>
      <c r="L10" t="str">
        <f t="shared" si="4"/>
        <v>ANO</v>
      </c>
      <c r="M10" t="str">
        <f t="shared" si="5"/>
        <v>ANO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</row>
    <row r="11" spans="1:17" x14ac:dyDescent="0.25">
      <c r="F11" t="e">
        <f t="shared" si="0"/>
        <v>#DIV/0!</v>
      </c>
      <c r="G11" t="e">
        <f t="shared" si="1"/>
        <v>#DIV/0!</v>
      </c>
      <c r="I11">
        <f t="shared" si="2"/>
        <v>0</v>
      </c>
      <c r="J11">
        <f t="shared" si="3"/>
        <v>0</v>
      </c>
      <c r="L11" t="str">
        <f t="shared" si="4"/>
        <v>ANO</v>
      </c>
      <c r="M11" t="str">
        <f t="shared" si="5"/>
        <v>ANO</v>
      </c>
      <c r="N11">
        <f t="shared" si="6"/>
        <v>0</v>
      </c>
      <c r="O11">
        <f t="shared" si="7"/>
        <v>0</v>
      </c>
      <c r="P11">
        <f t="shared" si="8"/>
        <v>0</v>
      </c>
      <c r="Q11">
        <f t="shared" si="9"/>
        <v>0</v>
      </c>
    </row>
    <row r="12" spans="1:17" x14ac:dyDescent="0.25">
      <c r="F12" t="e">
        <f t="shared" si="0"/>
        <v>#DIV/0!</v>
      </c>
      <c r="G12" t="e">
        <f t="shared" si="1"/>
        <v>#DIV/0!</v>
      </c>
      <c r="I12">
        <f t="shared" si="2"/>
        <v>0</v>
      </c>
      <c r="J12">
        <f t="shared" si="3"/>
        <v>0</v>
      </c>
      <c r="L12" t="str">
        <f t="shared" si="4"/>
        <v>ANO</v>
      </c>
      <c r="M12" t="str">
        <f t="shared" si="5"/>
        <v>ANO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</row>
    <row r="13" spans="1:17" x14ac:dyDescent="0.25">
      <c r="A13" s="1"/>
      <c r="B13" s="1"/>
      <c r="E13" s="1"/>
      <c r="F13" t="e">
        <f t="shared" si="0"/>
        <v>#DIV/0!</v>
      </c>
      <c r="G13" t="e">
        <f t="shared" si="1"/>
        <v>#DIV/0!</v>
      </c>
      <c r="I13">
        <f t="shared" si="2"/>
        <v>0</v>
      </c>
      <c r="J13">
        <f t="shared" si="3"/>
        <v>0</v>
      </c>
      <c r="L13" t="str">
        <f t="shared" si="4"/>
        <v>ANO</v>
      </c>
      <c r="M13" t="str">
        <f t="shared" si="5"/>
        <v>ANO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</row>
    <row r="14" spans="1:17" x14ac:dyDescent="0.25">
      <c r="F14" t="e">
        <f t="shared" si="0"/>
        <v>#DIV/0!</v>
      </c>
      <c r="G14" t="e">
        <f t="shared" si="1"/>
        <v>#DIV/0!</v>
      </c>
      <c r="I14">
        <f t="shared" si="2"/>
        <v>0</v>
      </c>
      <c r="J14">
        <f t="shared" si="3"/>
        <v>0</v>
      </c>
      <c r="L14" t="str">
        <f t="shared" si="4"/>
        <v>ANO</v>
      </c>
      <c r="M14" t="str">
        <f t="shared" si="5"/>
        <v>ANO</v>
      </c>
      <c r="N14">
        <f t="shared" si="6"/>
        <v>0</v>
      </c>
      <c r="O14">
        <f t="shared" si="7"/>
        <v>0</v>
      </c>
      <c r="P14">
        <f t="shared" si="8"/>
        <v>0</v>
      </c>
      <c r="Q14">
        <f t="shared" si="9"/>
        <v>0</v>
      </c>
    </row>
    <row r="15" spans="1:17" x14ac:dyDescent="0.25">
      <c r="F15" t="e">
        <f t="shared" si="0"/>
        <v>#DIV/0!</v>
      </c>
      <c r="G15" t="e">
        <f t="shared" si="1"/>
        <v>#DIV/0!</v>
      </c>
      <c r="I15">
        <f t="shared" si="2"/>
        <v>0</v>
      </c>
      <c r="J15">
        <f t="shared" si="3"/>
        <v>0</v>
      </c>
      <c r="L15" t="str">
        <f t="shared" si="4"/>
        <v>ANO</v>
      </c>
      <c r="M15" t="str">
        <f t="shared" si="5"/>
        <v>ANO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</row>
    <row r="16" spans="1:17" x14ac:dyDescent="0.25">
      <c r="F16" t="e">
        <f t="shared" si="0"/>
        <v>#DIV/0!</v>
      </c>
      <c r="G16" t="e">
        <f t="shared" si="1"/>
        <v>#DIV/0!</v>
      </c>
      <c r="I16">
        <f t="shared" si="2"/>
        <v>0</v>
      </c>
      <c r="J16">
        <f t="shared" si="3"/>
        <v>0</v>
      </c>
      <c r="L16" t="str">
        <f t="shared" si="4"/>
        <v>ANO</v>
      </c>
      <c r="M16" t="str">
        <f t="shared" si="5"/>
        <v>ANO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</row>
    <row r="17" spans="1:17" x14ac:dyDescent="0.25">
      <c r="F17" t="e">
        <f t="shared" si="0"/>
        <v>#DIV/0!</v>
      </c>
      <c r="G17" t="e">
        <f t="shared" si="1"/>
        <v>#DIV/0!</v>
      </c>
      <c r="I17">
        <f t="shared" si="2"/>
        <v>0</v>
      </c>
      <c r="J17">
        <f t="shared" si="3"/>
        <v>0</v>
      </c>
      <c r="L17" t="str">
        <f t="shared" si="4"/>
        <v>ANO</v>
      </c>
      <c r="M17" t="str">
        <f t="shared" si="5"/>
        <v>ANO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25">
      <c r="F18" t="e">
        <f t="shared" si="0"/>
        <v>#DIV/0!</v>
      </c>
      <c r="G18" t="e">
        <f t="shared" si="1"/>
        <v>#DIV/0!</v>
      </c>
      <c r="I18">
        <f t="shared" si="2"/>
        <v>0</v>
      </c>
      <c r="J18">
        <f t="shared" si="3"/>
        <v>0</v>
      </c>
      <c r="L18" t="str">
        <f t="shared" si="4"/>
        <v>ANO</v>
      </c>
      <c r="M18" t="str">
        <f t="shared" si="5"/>
        <v>ANO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</row>
    <row r="19" spans="1:17" x14ac:dyDescent="0.25">
      <c r="F19" t="e">
        <f t="shared" si="0"/>
        <v>#DIV/0!</v>
      </c>
      <c r="G19" t="e">
        <f t="shared" si="1"/>
        <v>#DIV/0!</v>
      </c>
      <c r="I19">
        <f t="shared" si="2"/>
        <v>0</v>
      </c>
      <c r="J19">
        <f t="shared" si="3"/>
        <v>0</v>
      </c>
      <c r="L19" t="str">
        <f t="shared" si="4"/>
        <v>ANO</v>
      </c>
      <c r="M19" t="str">
        <f t="shared" si="5"/>
        <v>ANO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</row>
    <row r="23" spans="1:17" x14ac:dyDescent="0.25">
      <c r="A23" t="s">
        <v>14</v>
      </c>
      <c r="B23" t="s">
        <v>13</v>
      </c>
      <c r="D23" t="s">
        <v>15</v>
      </c>
      <c r="E23" t="s">
        <v>10</v>
      </c>
      <c r="F23" t="s">
        <v>11</v>
      </c>
      <c r="G23" t="s">
        <v>12</v>
      </c>
    </row>
    <row r="24" spans="1:17" x14ac:dyDescent="0.25">
      <c r="A24">
        <v>195</v>
      </c>
      <c r="B24">
        <v>195</v>
      </c>
      <c r="D24">
        <v>10</v>
      </c>
      <c r="E24">
        <v>0</v>
      </c>
      <c r="F24">
        <v>11</v>
      </c>
      <c r="G24">
        <v>225</v>
      </c>
    </row>
    <row r="26" spans="1:17" x14ac:dyDescent="0.25">
      <c r="A26">
        <v>130</v>
      </c>
      <c r="B26">
        <v>130</v>
      </c>
      <c r="F26" t="s">
        <v>40</v>
      </c>
      <c r="G26" t="s">
        <v>39</v>
      </c>
      <c r="I26" t="s">
        <v>41</v>
      </c>
    </row>
    <row r="29" spans="1:17" x14ac:dyDescent="0.25">
      <c r="B29" t="s">
        <v>46</v>
      </c>
      <c r="C29" t="s">
        <v>43</v>
      </c>
      <c r="D29" t="s">
        <v>44</v>
      </c>
      <c r="E29" t="s">
        <v>45</v>
      </c>
      <c r="G29" t="s">
        <v>42</v>
      </c>
      <c r="H29" t="s">
        <v>43</v>
      </c>
      <c r="I29" t="s">
        <v>47</v>
      </c>
      <c r="J29" t="s">
        <v>45</v>
      </c>
    </row>
    <row r="30" spans="1:17" x14ac:dyDescent="0.25">
      <c r="B30">
        <v>450</v>
      </c>
      <c r="C30">
        <f>150*B30</f>
        <v>67500</v>
      </c>
      <c r="D30">
        <v>3230</v>
      </c>
      <c r="E30">
        <f>C30/D30</f>
        <v>20.897832817337463</v>
      </c>
      <c r="G30">
        <v>400</v>
      </c>
      <c r="H30">
        <f>120*G30</f>
        <v>48000</v>
      </c>
      <c r="I30">
        <v>2144</v>
      </c>
      <c r="J30">
        <f>H30/I30</f>
        <v>22.388059701492537</v>
      </c>
    </row>
    <row r="31" spans="1:17" x14ac:dyDescent="0.25">
      <c r="B31">
        <v>450</v>
      </c>
      <c r="C31">
        <f t="shared" ref="C31:C47" si="10">150*B31</f>
        <v>67500</v>
      </c>
      <c r="D31">
        <v>3323</v>
      </c>
      <c r="E31">
        <f t="shared" ref="E31:E47" si="11">C31/D31</f>
        <v>20.312970207643694</v>
      </c>
      <c r="G31">
        <v>400</v>
      </c>
      <c r="H31">
        <f t="shared" ref="H31:H47" si="12">120*G31</f>
        <v>48000</v>
      </c>
      <c r="I31">
        <v>2144</v>
      </c>
      <c r="J31">
        <f t="shared" ref="J31:J47" si="13">H31/I31</f>
        <v>22.388059701492537</v>
      </c>
    </row>
    <row r="32" spans="1:17" x14ac:dyDescent="0.25">
      <c r="B32">
        <v>100</v>
      </c>
      <c r="C32">
        <f t="shared" si="10"/>
        <v>15000</v>
      </c>
      <c r="D32">
        <v>413</v>
      </c>
      <c r="E32">
        <f t="shared" si="11"/>
        <v>36.319612590799032</v>
      </c>
      <c r="G32">
        <v>400</v>
      </c>
      <c r="H32">
        <f t="shared" si="12"/>
        <v>48000</v>
      </c>
      <c r="I32">
        <v>1788</v>
      </c>
      <c r="J32">
        <f t="shared" si="13"/>
        <v>26.845637583892618</v>
      </c>
    </row>
    <row r="33" spans="2:10" x14ac:dyDescent="0.25">
      <c r="B33">
        <v>150</v>
      </c>
      <c r="C33">
        <f t="shared" si="10"/>
        <v>22500</v>
      </c>
      <c r="D33">
        <v>723</v>
      </c>
      <c r="E33">
        <f t="shared" si="11"/>
        <v>31.120331950207468</v>
      </c>
      <c r="G33">
        <v>400</v>
      </c>
      <c r="H33">
        <f t="shared" si="12"/>
        <v>48000</v>
      </c>
      <c r="I33">
        <v>2286</v>
      </c>
      <c r="J33">
        <f t="shared" si="13"/>
        <v>20.99737532808399</v>
      </c>
    </row>
    <row r="34" spans="2:10" x14ac:dyDescent="0.25">
      <c r="B34">
        <v>150</v>
      </c>
      <c r="C34">
        <f t="shared" si="10"/>
        <v>22500</v>
      </c>
      <c r="D34">
        <v>411</v>
      </c>
      <c r="E34">
        <f t="shared" si="11"/>
        <v>54.744525547445257</v>
      </c>
      <c r="G34">
        <v>400</v>
      </c>
      <c r="H34">
        <f t="shared" si="12"/>
        <v>48000</v>
      </c>
      <c r="I34">
        <v>1331</v>
      </c>
      <c r="J34">
        <f t="shared" si="13"/>
        <v>36.063110443275733</v>
      </c>
    </row>
    <row r="35" spans="2:10" x14ac:dyDescent="0.25">
      <c r="B35">
        <v>150</v>
      </c>
      <c r="C35">
        <f t="shared" si="10"/>
        <v>22500</v>
      </c>
      <c r="D35">
        <v>617</v>
      </c>
      <c r="E35">
        <f t="shared" si="11"/>
        <v>36.466774716369528</v>
      </c>
      <c r="G35">
        <v>400</v>
      </c>
      <c r="H35">
        <f t="shared" si="12"/>
        <v>48000</v>
      </c>
      <c r="I35">
        <v>2315</v>
      </c>
      <c r="J35">
        <f t="shared" si="13"/>
        <v>20.734341252699785</v>
      </c>
    </row>
    <row r="36" spans="2:10" x14ac:dyDescent="0.25">
      <c r="B36">
        <v>100</v>
      </c>
      <c r="C36">
        <f t="shared" si="10"/>
        <v>15000</v>
      </c>
      <c r="D36">
        <v>281</v>
      </c>
      <c r="E36">
        <f t="shared" si="11"/>
        <v>53.380782918149464</v>
      </c>
      <c r="G36">
        <v>400</v>
      </c>
      <c r="H36">
        <f t="shared" si="12"/>
        <v>48000</v>
      </c>
      <c r="I36">
        <v>2352</v>
      </c>
      <c r="J36">
        <f t="shared" si="13"/>
        <v>20.408163265306122</v>
      </c>
    </row>
    <row r="37" spans="2:10" x14ac:dyDescent="0.25">
      <c r="C37">
        <f t="shared" si="10"/>
        <v>0</v>
      </c>
      <c r="E37" t="e">
        <f t="shared" si="11"/>
        <v>#DIV/0!</v>
      </c>
      <c r="H37">
        <f t="shared" si="12"/>
        <v>0</v>
      </c>
      <c r="J37" t="e">
        <f t="shared" si="13"/>
        <v>#DIV/0!</v>
      </c>
    </row>
    <row r="38" spans="2:10" x14ac:dyDescent="0.25">
      <c r="C38">
        <f t="shared" si="10"/>
        <v>0</v>
      </c>
      <c r="E38" t="e">
        <f t="shared" si="11"/>
        <v>#DIV/0!</v>
      </c>
      <c r="H38">
        <f t="shared" si="12"/>
        <v>0</v>
      </c>
      <c r="J38" t="e">
        <f t="shared" si="13"/>
        <v>#DIV/0!</v>
      </c>
    </row>
    <row r="39" spans="2:10" x14ac:dyDescent="0.25">
      <c r="C39">
        <f t="shared" si="10"/>
        <v>0</v>
      </c>
      <c r="E39" t="e">
        <f t="shared" si="11"/>
        <v>#DIV/0!</v>
      </c>
      <c r="H39">
        <f t="shared" si="12"/>
        <v>0</v>
      </c>
      <c r="J39" t="e">
        <f t="shared" si="13"/>
        <v>#DIV/0!</v>
      </c>
    </row>
    <row r="40" spans="2:10" x14ac:dyDescent="0.25">
      <c r="C40">
        <f t="shared" si="10"/>
        <v>0</v>
      </c>
      <c r="E40" t="e">
        <f t="shared" si="11"/>
        <v>#DIV/0!</v>
      </c>
      <c r="H40">
        <f t="shared" si="12"/>
        <v>0</v>
      </c>
      <c r="J40" t="e">
        <f t="shared" si="13"/>
        <v>#DIV/0!</v>
      </c>
    </row>
    <row r="41" spans="2:10" x14ac:dyDescent="0.25">
      <c r="C41">
        <f t="shared" si="10"/>
        <v>0</v>
      </c>
      <c r="E41" t="e">
        <f t="shared" si="11"/>
        <v>#DIV/0!</v>
      </c>
      <c r="H41">
        <f t="shared" si="12"/>
        <v>0</v>
      </c>
      <c r="J41" t="e">
        <f t="shared" si="13"/>
        <v>#DIV/0!</v>
      </c>
    </row>
    <row r="42" spans="2:10" x14ac:dyDescent="0.25">
      <c r="C42">
        <f t="shared" si="10"/>
        <v>0</v>
      </c>
      <c r="E42" t="e">
        <f t="shared" si="11"/>
        <v>#DIV/0!</v>
      </c>
      <c r="H42">
        <f t="shared" si="12"/>
        <v>0</v>
      </c>
      <c r="J42" t="e">
        <f t="shared" si="13"/>
        <v>#DIV/0!</v>
      </c>
    </row>
    <row r="43" spans="2:10" x14ac:dyDescent="0.25">
      <c r="C43">
        <f t="shared" si="10"/>
        <v>0</v>
      </c>
      <c r="E43" t="e">
        <f t="shared" si="11"/>
        <v>#DIV/0!</v>
      </c>
      <c r="H43">
        <f t="shared" si="12"/>
        <v>0</v>
      </c>
      <c r="J43" t="e">
        <f t="shared" si="13"/>
        <v>#DIV/0!</v>
      </c>
    </row>
    <row r="44" spans="2:10" x14ac:dyDescent="0.25">
      <c r="C44">
        <f t="shared" si="10"/>
        <v>0</v>
      </c>
      <c r="E44" t="e">
        <f t="shared" si="11"/>
        <v>#DIV/0!</v>
      </c>
      <c r="H44">
        <f t="shared" si="12"/>
        <v>0</v>
      </c>
      <c r="J44" t="e">
        <f t="shared" si="13"/>
        <v>#DIV/0!</v>
      </c>
    </row>
    <row r="45" spans="2:10" x14ac:dyDescent="0.25">
      <c r="C45">
        <f t="shared" si="10"/>
        <v>0</v>
      </c>
      <c r="E45" t="e">
        <f t="shared" si="11"/>
        <v>#DIV/0!</v>
      </c>
      <c r="H45">
        <f t="shared" si="12"/>
        <v>0</v>
      </c>
      <c r="J45" t="e">
        <f t="shared" si="13"/>
        <v>#DIV/0!</v>
      </c>
    </row>
    <row r="46" spans="2:10" x14ac:dyDescent="0.25">
      <c r="C46">
        <f t="shared" si="10"/>
        <v>0</v>
      </c>
      <c r="E46" t="e">
        <f t="shared" si="11"/>
        <v>#DIV/0!</v>
      </c>
      <c r="H46">
        <f t="shared" si="12"/>
        <v>0</v>
      </c>
      <c r="J46" t="e">
        <f t="shared" si="13"/>
        <v>#DIV/0!</v>
      </c>
    </row>
    <row r="47" spans="2:10" x14ac:dyDescent="0.25">
      <c r="C47">
        <f t="shared" si="10"/>
        <v>0</v>
      </c>
      <c r="E47" t="e">
        <f t="shared" si="11"/>
        <v>#DIV/0!</v>
      </c>
      <c r="H47">
        <f t="shared" si="12"/>
        <v>0</v>
      </c>
      <c r="J47" t="e">
        <f t="shared" si="13"/>
        <v>#DIV/0!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activeCell="G19" sqref="G19"/>
    </sheetView>
  </sheetViews>
  <sheetFormatPr defaultRowHeight="15" x14ac:dyDescent="0.25"/>
  <cols>
    <col min="2" max="2" width="11.42578125" customWidth="1"/>
    <col min="5" max="5" width="10.7109375" customWidth="1"/>
    <col min="6" max="6" width="13.42578125" customWidth="1"/>
    <col min="7" max="7" width="16.140625" customWidth="1"/>
    <col min="8" max="8" width="17" customWidth="1"/>
    <col min="9" max="9" width="16.85546875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B2" s="1">
        <v>2500</v>
      </c>
      <c r="C2" s="1">
        <v>289952</v>
      </c>
      <c r="D2" s="1">
        <v>12</v>
      </c>
      <c r="E2" s="1">
        <v>72</v>
      </c>
      <c r="F2">
        <v>2</v>
      </c>
      <c r="G2">
        <f>(50*C2-50*B2*E2-D2*B2*E2)/(-1*B2*E2)</f>
        <v>-18.542222222222222</v>
      </c>
      <c r="H2">
        <f>(20*C2-20*B2*E2-D2*B2*E2)/(-1*B2*E2)</f>
        <v>-0.21688888888888888</v>
      </c>
      <c r="I2">
        <f>C2/(J2/100)</f>
        <v>134.23703703703703</v>
      </c>
      <c r="J2">
        <f>B2*E2*(1+(D2-F2)/50)</f>
        <v>216000</v>
      </c>
      <c r="K2">
        <f>B2*E2*(1+(D2-F2)/20)</f>
        <v>270000</v>
      </c>
      <c r="M2" t="str">
        <f>IF((O2&lt;=C2),IF(P2&gt;=C2,"ANO","NE"),"NE")</f>
        <v>NE</v>
      </c>
      <c r="N2" t="str">
        <f>IF((Q2&lt;=C2),IF(R2&gt;=C2,"ANO","NE"),"NE")</f>
        <v>ANO</v>
      </c>
      <c r="O2">
        <f>J2*0.9</f>
        <v>194400</v>
      </c>
      <c r="P2">
        <f>J2*1.1</f>
        <v>237600.00000000003</v>
      </c>
      <c r="Q2">
        <f>K2*0.9</f>
        <v>243000</v>
      </c>
      <c r="R2">
        <f>K2*1.1</f>
        <v>297000</v>
      </c>
    </row>
    <row r="3" spans="1:18" x14ac:dyDescent="0.25">
      <c r="B3">
        <v>2500</v>
      </c>
      <c r="C3">
        <v>215250</v>
      </c>
      <c r="D3">
        <v>12</v>
      </c>
      <c r="E3">
        <v>54</v>
      </c>
      <c r="F3">
        <v>2</v>
      </c>
      <c r="G3">
        <f t="shared" ref="G3:G18" si="0">(50*C3-50*B3*E3-D3*B3*E3)/(-1*B3*E3)</f>
        <v>-17.722222222222221</v>
      </c>
      <c r="H3">
        <f t="shared" ref="H3:H18" si="1">(20*C3-20*B3*E3-D3*B3*E3)/(-1*B3*E3)</f>
        <v>0.1111111111111111</v>
      </c>
      <c r="I3">
        <f>C3/(J3/100)</f>
        <v>132.87037037037038</v>
      </c>
      <c r="J3">
        <f t="shared" ref="J3:J18" si="2">B3*E3*(1+(D3-F3)/50)</f>
        <v>162000</v>
      </c>
      <c r="K3">
        <f t="shared" ref="K3:K18" si="3">B3*E3*(1+(D3-F3)/20)</f>
        <v>202500</v>
      </c>
      <c r="M3" t="str">
        <f t="shared" ref="M3:M18" si="4">IF((O3&lt;=C3),IF(P3&gt;=C3,"ANO","NE"),"NE")</f>
        <v>NE</v>
      </c>
      <c r="N3" t="str">
        <f t="shared" ref="N3:N18" si="5">IF((Q3&lt;=C3),IF(R3&gt;=C3,"ANO","NE"),"NE")</f>
        <v>ANO</v>
      </c>
      <c r="O3">
        <f t="shared" ref="O3:O18" si="6">J3*0.9</f>
        <v>145800</v>
      </c>
      <c r="P3">
        <f t="shared" ref="P3:P18" si="7">J3*1.1</f>
        <v>178200</v>
      </c>
      <c r="Q3">
        <f t="shared" ref="Q3:Q18" si="8">K3*0.9</f>
        <v>182250</v>
      </c>
      <c r="R3">
        <f t="shared" ref="R3:R18" si="9">K3*1.1</f>
        <v>222750.00000000003</v>
      </c>
    </row>
    <row r="4" spans="1:18" x14ac:dyDescent="0.25">
      <c r="G4" t="e">
        <f t="shared" si="0"/>
        <v>#DIV/0!</v>
      </c>
      <c r="H4" t="e">
        <f t="shared" si="1"/>
        <v>#DIV/0!</v>
      </c>
      <c r="I4" t="e">
        <f t="shared" ref="I4:I6" si="10">C4/(J4/100)</f>
        <v>#DIV/0!</v>
      </c>
      <c r="J4">
        <f t="shared" si="2"/>
        <v>0</v>
      </c>
      <c r="K4">
        <f t="shared" si="3"/>
        <v>0</v>
      </c>
      <c r="M4" t="str">
        <f t="shared" si="4"/>
        <v>ANO</v>
      </c>
      <c r="N4" t="str">
        <f t="shared" si="5"/>
        <v>ANO</v>
      </c>
      <c r="O4">
        <f t="shared" si="6"/>
        <v>0</v>
      </c>
      <c r="P4">
        <f t="shared" si="7"/>
        <v>0</v>
      </c>
      <c r="Q4">
        <f t="shared" si="8"/>
        <v>0</v>
      </c>
      <c r="R4">
        <f t="shared" si="9"/>
        <v>0</v>
      </c>
    </row>
    <row r="5" spans="1:18" x14ac:dyDescent="0.25">
      <c r="B5">
        <v>1918</v>
      </c>
      <c r="C5">
        <v>215357</v>
      </c>
      <c r="D5">
        <v>12</v>
      </c>
      <c r="E5">
        <v>72</v>
      </c>
      <c r="F5">
        <v>2</v>
      </c>
      <c r="G5">
        <f t="shared" si="0"/>
        <v>-15.973656007415132</v>
      </c>
      <c r="H5">
        <f t="shared" si="1"/>
        <v>0.81053759703394734</v>
      </c>
      <c r="I5">
        <f t="shared" si="10"/>
        <v>129.9560933456919</v>
      </c>
      <c r="J5">
        <f t="shared" si="2"/>
        <v>165715.19999999998</v>
      </c>
      <c r="K5">
        <f t="shared" si="3"/>
        <v>207144</v>
      </c>
      <c r="M5" t="str">
        <f t="shared" si="4"/>
        <v>NE</v>
      </c>
      <c r="N5" t="str">
        <f t="shared" si="5"/>
        <v>ANO</v>
      </c>
      <c r="O5">
        <f t="shared" si="6"/>
        <v>149143.67999999999</v>
      </c>
      <c r="P5">
        <f t="shared" si="7"/>
        <v>182286.72</v>
      </c>
      <c r="Q5">
        <f t="shared" si="8"/>
        <v>186429.6</v>
      </c>
      <c r="R5">
        <f t="shared" si="9"/>
        <v>227858.40000000002</v>
      </c>
    </row>
    <row r="6" spans="1:18" x14ac:dyDescent="0.25">
      <c r="B6">
        <v>2997</v>
      </c>
      <c r="C6">
        <v>313031</v>
      </c>
      <c r="D6">
        <v>12</v>
      </c>
      <c r="E6">
        <v>72</v>
      </c>
      <c r="F6">
        <v>3</v>
      </c>
      <c r="G6">
        <f t="shared" si="0"/>
        <v>-10.533413042672302</v>
      </c>
      <c r="H6">
        <f t="shared" si="1"/>
        <v>2.9866347829310791</v>
      </c>
      <c r="I6">
        <f t="shared" si="10"/>
        <v>122.93798820791915</v>
      </c>
      <c r="J6">
        <f t="shared" si="2"/>
        <v>254625.12</v>
      </c>
      <c r="K6">
        <f t="shared" si="3"/>
        <v>312886.8</v>
      </c>
      <c r="M6" t="str">
        <f t="shared" si="4"/>
        <v>NE</v>
      </c>
      <c r="N6" t="str">
        <f t="shared" si="5"/>
        <v>ANO</v>
      </c>
      <c r="O6">
        <f t="shared" si="6"/>
        <v>229162.60800000001</v>
      </c>
      <c r="P6">
        <f t="shared" si="7"/>
        <v>280087.63200000004</v>
      </c>
      <c r="Q6">
        <f t="shared" si="8"/>
        <v>281598.12</v>
      </c>
      <c r="R6">
        <f t="shared" si="9"/>
        <v>344175.48000000004</v>
      </c>
    </row>
    <row r="7" spans="1:18" x14ac:dyDescent="0.25">
      <c r="B7">
        <v>2997</v>
      </c>
      <c r="C7">
        <v>233467</v>
      </c>
      <c r="D7">
        <v>12</v>
      </c>
      <c r="E7">
        <v>54</v>
      </c>
      <c r="F7">
        <v>2</v>
      </c>
      <c r="G7">
        <f t="shared" si="0"/>
        <v>-10.129845895277994</v>
      </c>
      <c r="H7">
        <f t="shared" si="1"/>
        <v>3.1480616418888023</v>
      </c>
      <c r="I7">
        <f t="shared" ref="I7" si="11">C7/(K7/100)</f>
        <v>96.173127860370656</v>
      </c>
      <c r="J7">
        <f t="shared" si="2"/>
        <v>194205.6</v>
      </c>
      <c r="K7">
        <f t="shared" si="3"/>
        <v>242757</v>
      </c>
      <c r="M7" t="str">
        <f t="shared" si="4"/>
        <v>NE</v>
      </c>
      <c r="N7" t="str">
        <f t="shared" si="5"/>
        <v>ANO</v>
      </c>
      <c r="O7">
        <f t="shared" si="6"/>
        <v>174785.04</v>
      </c>
      <c r="P7">
        <f t="shared" si="7"/>
        <v>213626.16000000003</v>
      </c>
      <c r="Q7">
        <f t="shared" si="8"/>
        <v>218481.30000000002</v>
      </c>
      <c r="R7">
        <f t="shared" si="9"/>
        <v>267032.7</v>
      </c>
    </row>
    <row r="8" spans="1:18" x14ac:dyDescent="0.25">
      <c r="G8" t="e">
        <f t="shared" si="0"/>
        <v>#DIV/0!</v>
      </c>
      <c r="H8" t="e">
        <f t="shared" si="1"/>
        <v>#DIV/0!</v>
      </c>
      <c r="I8" t="e">
        <f>C8/(K8/100)</f>
        <v>#DIV/0!</v>
      </c>
      <c r="J8">
        <f t="shared" si="2"/>
        <v>0</v>
      </c>
      <c r="K8">
        <f t="shared" si="3"/>
        <v>0</v>
      </c>
      <c r="M8" t="str">
        <f t="shared" si="4"/>
        <v>ANO</v>
      </c>
      <c r="N8" t="str">
        <f t="shared" si="5"/>
        <v>ANO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</row>
    <row r="9" spans="1:18" x14ac:dyDescent="0.25">
      <c r="G9" t="e">
        <f>(50*C9-50*B9*E9-D9*B9*E9)/(-1*B9*E9)</f>
        <v>#DIV/0!</v>
      </c>
      <c r="H9" t="e">
        <f>(20*C9-20*B9*E9-D9*B9*E9)/(-1*B9*E9)</f>
        <v>#DIV/0!</v>
      </c>
      <c r="I9" t="e">
        <f>C9/(K9/100)</f>
        <v>#DIV/0!</v>
      </c>
      <c r="J9">
        <f t="shared" si="2"/>
        <v>0</v>
      </c>
      <c r="K9">
        <f t="shared" si="3"/>
        <v>0</v>
      </c>
      <c r="M9" t="str">
        <f t="shared" si="4"/>
        <v>ANO</v>
      </c>
      <c r="N9" t="str">
        <f t="shared" si="5"/>
        <v>ANO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</row>
    <row r="10" spans="1:18" x14ac:dyDescent="0.25">
      <c r="G10" t="e">
        <f t="shared" si="0"/>
        <v>#DIV/0!</v>
      </c>
      <c r="H10" t="e">
        <f t="shared" si="1"/>
        <v>#DIV/0!</v>
      </c>
      <c r="I10" t="e">
        <f>C10/(K10/100)</f>
        <v>#DIV/0!</v>
      </c>
      <c r="J10">
        <f t="shared" si="2"/>
        <v>0</v>
      </c>
      <c r="K10">
        <f t="shared" si="3"/>
        <v>0</v>
      </c>
      <c r="M10" t="str">
        <f t="shared" si="4"/>
        <v>ANO</v>
      </c>
      <c r="N10" t="str">
        <f t="shared" si="5"/>
        <v>ANO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</row>
    <row r="11" spans="1:18" x14ac:dyDescent="0.25">
      <c r="G11" t="e">
        <f>(50*C11-50*A12*E11-D11*A12*E11)/(-1*A12*E11)</f>
        <v>#DIV/0!</v>
      </c>
      <c r="H11" t="e">
        <f>(20*C11-20*A12*E11-D11*A12*E11)/(-1*A12*E11)</f>
        <v>#DIV/0!</v>
      </c>
      <c r="I11" t="e">
        <f>C11/(K11/100)</f>
        <v>#DIV/0!</v>
      </c>
      <c r="J11">
        <f t="shared" si="2"/>
        <v>0</v>
      </c>
      <c r="K11">
        <f t="shared" si="3"/>
        <v>0</v>
      </c>
      <c r="M11" t="str">
        <f t="shared" si="4"/>
        <v>ANO</v>
      </c>
      <c r="N11" t="str">
        <f t="shared" si="5"/>
        <v>ANO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</row>
    <row r="12" spans="1:18" x14ac:dyDescent="0.25">
      <c r="A12" s="2"/>
      <c r="B12" s="1"/>
      <c r="C12" s="1"/>
      <c r="F12" s="1"/>
      <c r="G12" t="e">
        <f t="shared" si="0"/>
        <v>#DIV/0!</v>
      </c>
      <c r="H12" t="e">
        <f t="shared" si="1"/>
        <v>#DIV/0!</v>
      </c>
      <c r="J12">
        <f t="shared" si="2"/>
        <v>0</v>
      </c>
      <c r="K12">
        <f t="shared" si="3"/>
        <v>0</v>
      </c>
      <c r="M12" t="str">
        <f t="shared" si="4"/>
        <v>ANO</v>
      </c>
      <c r="N12" t="str">
        <f t="shared" si="5"/>
        <v>ANO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</row>
    <row r="13" spans="1:18" x14ac:dyDescent="0.25">
      <c r="A13" s="2"/>
      <c r="G13" t="e">
        <f t="shared" si="0"/>
        <v>#DIV/0!</v>
      </c>
      <c r="H13" t="e">
        <f t="shared" si="1"/>
        <v>#DIV/0!</v>
      </c>
      <c r="J13">
        <f t="shared" si="2"/>
        <v>0</v>
      </c>
      <c r="K13">
        <f t="shared" si="3"/>
        <v>0</v>
      </c>
      <c r="M13" t="str">
        <f t="shared" si="4"/>
        <v>ANO</v>
      </c>
      <c r="N13" t="str">
        <f t="shared" si="5"/>
        <v>ANO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</row>
    <row r="14" spans="1:18" x14ac:dyDescent="0.25">
      <c r="G14" t="e">
        <f t="shared" si="0"/>
        <v>#DIV/0!</v>
      </c>
      <c r="H14" t="e">
        <f t="shared" si="1"/>
        <v>#DIV/0!</v>
      </c>
      <c r="J14">
        <f t="shared" si="2"/>
        <v>0</v>
      </c>
      <c r="K14">
        <f t="shared" si="3"/>
        <v>0</v>
      </c>
      <c r="M14" t="str">
        <f t="shared" si="4"/>
        <v>ANO</v>
      </c>
      <c r="N14" t="str">
        <f t="shared" si="5"/>
        <v>ANO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</row>
    <row r="15" spans="1:18" x14ac:dyDescent="0.25">
      <c r="G15" t="e">
        <f t="shared" si="0"/>
        <v>#DIV/0!</v>
      </c>
      <c r="H15" t="e">
        <f t="shared" si="1"/>
        <v>#DIV/0!</v>
      </c>
      <c r="J15">
        <f t="shared" si="2"/>
        <v>0</v>
      </c>
      <c r="K15">
        <f t="shared" si="3"/>
        <v>0</v>
      </c>
      <c r="M15" t="str">
        <f t="shared" si="4"/>
        <v>ANO</v>
      </c>
      <c r="N15" t="str">
        <f t="shared" si="5"/>
        <v>ANO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</row>
    <row r="16" spans="1:18" x14ac:dyDescent="0.25">
      <c r="G16" t="e">
        <f t="shared" si="0"/>
        <v>#DIV/0!</v>
      </c>
      <c r="H16" t="e">
        <f t="shared" si="1"/>
        <v>#DIV/0!</v>
      </c>
      <c r="J16">
        <f t="shared" si="2"/>
        <v>0</v>
      </c>
      <c r="K16">
        <f t="shared" si="3"/>
        <v>0</v>
      </c>
      <c r="M16" t="str">
        <f t="shared" si="4"/>
        <v>ANO</v>
      </c>
      <c r="N16" t="str">
        <f t="shared" si="5"/>
        <v>ANO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</row>
    <row r="17" spans="2:18" x14ac:dyDescent="0.25">
      <c r="G17" t="e">
        <f t="shared" si="0"/>
        <v>#DIV/0!</v>
      </c>
      <c r="H17" t="e">
        <f t="shared" si="1"/>
        <v>#DIV/0!</v>
      </c>
      <c r="J17">
        <f t="shared" si="2"/>
        <v>0</v>
      </c>
      <c r="K17">
        <f t="shared" si="3"/>
        <v>0</v>
      </c>
      <c r="M17" t="str">
        <f t="shared" si="4"/>
        <v>ANO</v>
      </c>
      <c r="N17" t="str">
        <f t="shared" si="5"/>
        <v>ANO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</row>
    <row r="18" spans="2:18" x14ac:dyDescent="0.25">
      <c r="G18" t="e">
        <f t="shared" si="0"/>
        <v>#DIV/0!</v>
      </c>
      <c r="H18" t="e">
        <f t="shared" si="1"/>
        <v>#DIV/0!</v>
      </c>
      <c r="J18">
        <f t="shared" si="2"/>
        <v>0</v>
      </c>
      <c r="K18">
        <f t="shared" si="3"/>
        <v>0</v>
      </c>
      <c r="M18" t="str">
        <f t="shared" si="4"/>
        <v>ANO</v>
      </c>
      <c r="N18" t="str">
        <f t="shared" si="5"/>
        <v>ANO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</row>
    <row r="21" spans="2:18" x14ac:dyDescent="0.25">
      <c r="B21" t="s">
        <v>14</v>
      </c>
      <c r="C21" t="s">
        <v>13</v>
      </c>
      <c r="E21" t="s">
        <v>15</v>
      </c>
      <c r="F21" t="s">
        <v>10</v>
      </c>
      <c r="G21" t="s">
        <v>11</v>
      </c>
      <c r="H21" t="s">
        <v>12</v>
      </c>
      <c r="J21" t="s">
        <v>50</v>
      </c>
      <c r="K21">
        <v>18</v>
      </c>
    </row>
    <row r="22" spans="2:18" x14ac:dyDescent="0.25">
      <c r="B22">
        <v>150</v>
      </c>
      <c r="C22">
        <v>100</v>
      </c>
      <c r="E22">
        <v>10</v>
      </c>
      <c r="F22">
        <v>0</v>
      </c>
      <c r="G22">
        <v>12</v>
      </c>
      <c r="H22">
        <v>54</v>
      </c>
      <c r="J22" t="s">
        <v>72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I15" sqref="I15"/>
    </sheetView>
  </sheetViews>
  <sheetFormatPr defaultRowHeight="15" x14ac:dyDescent="0.25"/>
  <cols>
    <col min="2" max="2" width="11.42578125" customWidth="1"/>
    <col min="5" max="5" width="10.7109375" customWidth="1"/>
    <col min="6" max="6" width="13.42578125" customWidth="1"/>
    <col min="7" max="7" width="16.140625" customWidth="1"/>
    <col min="8" max="8" width="17" customWidth="1"/>
    <col min="9" max="9" width="16.85546875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B2" s="1">
        <v>5000</v>
      </c>
      <c r="C2" s="1">
        <v>287280</v>
      </c>
      <c r="D2" s="6">
        <v>12</v>
      </c>
      <c r="E2" s="6">
        <v>42</v>
      </c>
      <c r="F2" s="1">
        <v>5</v>
      </c>
      <c r="G2">
        <f>(50*C2-50*B2*E2-D2*B2*E2)/(-1*B2*E2)</f>
        <v>-6.4</v>
      </c>
      <c r="H2">
        <f>(25*C2-20*B2*E2-D2*B2*E2)/(-1*B2*E2)</f>
        <v>-2.2000000000000002</v>
      </c>
      <c r="I2">
        <f>C2/(J2/100)</f>
        <v>119.99999999999997</v>
      </c>
      <c r="J2">
        <f>B2*E2*(1+(D2-F2)/50)</f>
        <v>239400.00000000003</v>
      </c>
      <c r="K2">
        <f>B2*E2*(1+(D2-F2)/20)</f>
        <v>283500</v>
      </c>
      <c r="M2" t="str">
        <f>IF((O2&lt;=C2),IF(P2&gt;=C2,"ANO","NE"),"NE")</f>
        <v>NE</v>
      </c>
      <c r="N2" t="str">
        <f>IF((Q2&lt;=C2),IF(R2&gt;=C2,"ANO","NE"),"NE")</f>
        <v>ANO</v>
      </c>
      <c r="O2">
        <f>J2*0.9</f>
        <v>215460.00000000003</v>
      </c>
      <c r="P2">
        <f>J2*1.1</f>
        <v>263340.00000000006</v>
      </c>
      <c r="Q2">
        <f>K2*0.9</f>
        <v>255150</v>
      </c>
      <c r="R2">
        <f>K2*1.1</f>
        <v>311850</v>
      </c>
    </row>
    <row r="3" spans="1:18" x14ac:dyDescent="0.25">
      <c r="B3">
        <v>5000</v>
      </c>
      <c r="C3">
        <v>300352</v>
      </c>
      <c r="D3" s="6">
        <v>12</v>
      </c>
      <c r="E3" s="6">
        <v>42</v>
      </c>
      <c r="F3" s="1">
        <v>3</v>
      </c>
      <c r="G3">
        <f t="shared" ref="G3:G18" si="0">(50*C3-50*B3*E3-D3*B3*E3)/(-1*B3*E3)</f>
        <v>-9.512380952380953</v>
      </c>
      <c r="H3">
        <f t="shared" ref="H3:H18" si="1">(25*C3-20*B3*E3-D3*B3*E3)/(-1*B3*E3)</f>
        <v>-3.7561904761904761</v>
      </c>
      <c r="I3">
        <f>C3/(J3/100)</f>
        <v>121.20742534301856</v>
      </c>
      <c r="J3">
        <f t="shared" ref="J3:J18" si="2">B3*E3*(1+(D3-F3)/50)</f>
        <v>247800</v>
      </c>
      <c r="K3">
        <f t="shared" ref="K3:K18" si="3">B3*E3*(1+(D3-F3)/20)</f>
        <v>304500</v>
      </c>
      <c r="M3" t="str">
        <f t="shared" ref="M3:M18" si="4">IF((O3&lt;=C3),IF(P3&gt;=C3,"ANO","NE"),"NE")</f>
        <v>NE</v>
      </c>
      <c r="N3" t="str">
        <f t="shared" ref="N3:N18" si="5">IF((Q3&lt;=C3),IF(R3&gt;=C3,"ANO","NE"),"NE")</f>
        <v>ANO</v>
      </c>
      <c r="O3">
        <f t="shared" ref="O3:O18" si="6">J3*0.9</f>
        <v>223020</v>
      </c>
      <c r="P3">
        <f t="shared" ref="P3:P18" si="7">J3*1.1</f>
        <v>272580</v>
      </c>
      <c r="Q3">
        <f t="shared" ref="Q3:Q18" si="8">K3*0.9</f>
        <v>274050</v>
      </c>
      <c r="R3">
        <f t="shared" ref="R3:R18" si="9">K3*1.1</f>
        <v>334950</v>
      </c>
    </row>
    <row r="4" spans="1:18" x14ac:dyDescent="0.25">
      <c r="B4">
        <v>2338</v>
      </c>
      <c r="C4">
        <v>64642</v>
      </c>
      <c r="D4" s="6">
        <v>12</v>
      </c>
      <c r="E4" s="6">
        <v>42</v>
      </c>
      <c r="F4" s="1">
        <v>11</v>
      </c>
      <c r="G4">
        <f>(50*C4-50*B4*E4-D4*B4*E4)/(-1*B4*E4)</f>
        <v>29.085217320461119</v>
      </c>
      <c r="H4">
        <f t="shared" si="1"/>
        <v>15.54260866023056</v>
      </c>
      <c r="I4">
        <f>C4/(J4/100)</f>
        <v>64.538789567723299</v>
      </c>
      <c r="J4">
        <f>B4*E4*(1+(D4-F4)/50)</f>
        <v>100159.92</v>
      </c>
      <c r="K4">
        <f>B4*E4*(1+(D4-F4)/20)</f>
        <v>103105.8</v>
      </c>
      <c r="M4" t="str">
        <f>IF((O4&lt;=C4),IF(P4&gt;=C4,"ANO","NE"),"NE")</f>
        <v>NE</v>
      </c>
      <c r="N4" t="str">
        <f>IF((Q4&lt;=C4),IF(R4&gt;=C4,"ANO","NE"),"NE")</f>
        <v>NE</v>
      </c>
      <c r="O4">
        <f t="shared" si="6"/>
        <v>90143.928</v>
      </c>
      <c r="P4">
        <f t="shared" si="7"/>
        <v>110175.91200000001</v>
      </c>
      <c r="Q4">
        <f t="shared" si="8"/>
        <v>92795.22</v>
      </c>
      <c r="R4">
        <f t="shared" si="9"/>
        <v>113416.38000000002</v>
      </c>
    </row>
    <row r="5" spans="1:18" x14ac:dyDescent="0.25">
      <c r="G5" t="e">
        <f t="shared" si="0"/>
        <v>#DIV/0!</v>
      </c>
      <c r="H5" t="e">
        <f t="shared" si="1"/>
        <v>#DIV/0!</v>
      </c>
      <c r="I5" t="e">
        <f t="shared" ref="I5:I6" si="10">C5/(J5/100)</f>
        <v>#DIV/0!</v>
      </c>
      <c r="J5">
        <f t="shared" si="2"/>
        <v>0</v>
      </c>
      <c r="K5">
        <f t="shared" si="3"/>
        <v>0</v>
      </c>
      <c r="M5" t="str">
        <f t="shared" si="4"/>
        <v>ANO</v>
      </c>
      <c r="N5" t="str">
        <f t="shared" si="5"/>
        <v>ANO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</row>
    <row r="6" spans="1:18" x14ac:dyDescent="0.25">
      <c r="G6" t="e">
        <f t="shared" si="0"/>
        <v>#DIV/0!</v>
      </c>
      <c r="H6" t="e">
        <f t="shared" si="1"/>
        <v>#DIV/0!</v>
      </c>
      <c r="I6" t="e">
        <f t="shared" si="10"/>
        <v>#DIV/0!</v>
      </c>
      <c r="J6">
        <f t="shared" si="2"/>
        <v>0</v>
      </c>
      <c r="K6">
        <f t="shared" si="3"/>
        <v>0</v>
      </c>
      <c r="M6" t="str">
        <f t="shared" si="4"/>
        <v>ANO</v>
      </c>
      <c r="N6" t="str">
        <f t="shared" si="5"/>
        <v>ANO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</row>
    <row r="7" spans="1:18" x14ac:dyDescent="0.25">
      <c r="G7" t="e">
        <f t="shared" si="0"/>
        <v>#DIV/0!</v>
      </c>
      <c r="H7" t="e">
        <f t="shared" si="1"/>
        <v>#DIV/0!</v>
      </c>
      <c r="I7" t="e">
        <f t="shared" ref="I7" si="11">C7/(K7/100)</f>
        <v>#DIV/0!</v>
      </c>
      <c r="J7">
        <f t="shared" si="2"/>
        <v>0</v>
      </c>
      <c r="K7">
        <f t="shared" si="3"/>
        <v>0</v>
      </c>
      <c r="M7" t="str">
        <f t="shared" si="4"/>
        <v>ANO</v>
      </c>
      <c r="N7" t="str">
        <f t="shared" si="5"/>
        <v>ANO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</row>
    <row r="8" spans="1:18" x14ac:dyDescent="0.25">
      <c r="G8" t="e">
        <f t="shared" si="0"/>
        <v>#DIV/0!</v>
      </c>
      <c r="H8" t="e">
        <f t="shared" si="1"/>
        <v>#DIV/0!</v>
      </c>
      <c r="I8" t="e">
        <f>C8/(K8/100)</f>
        <v>#DIV/0!</v>
      </c>
      <c r="J8">
        <f t="shared" si="2"/>
        <v>0</v>
      </c>
      <c r="K8">
        <f t="shared" si="3"/>
        <v>0</v>
      </c>
      <c r="M8" t="str">
        <f t="shared" si="4"/>
        <v>ANO</v>
      </c>
      <c r="N8" t="str">
        <f t="shared" si="5"/>
        <v>ANO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</row>
    <row r="9" spans="1:18" x14ac:dyDescent="0.25">
      <c r="G9" t="e">
        <f>(50*C9-50*B9*E9-D9*B9*E9)/(-1*B9*E9)</f>
        <v>#DIV/0!</v>
      </c>
      <c r="H9" t="e">
        <f t="shared" si="1"/>
        <v>#DIV/0!</v>
      </c>
      <c r="I9" t="e">
        <f>C9/(K9/100)</f>
        <v>#DIV/0!</v>
      </c>
      <c r="J9">
        <f>B9*E9*(1+(D9-F9)/50)</f>
        <v>0</v>
      </c>
      <c r="K9">
        <f>B9*E9*(1+(D9-F9)/20)</f>
        <v>0</v>
      </c>
      <c r="M9" t="str">
        <f>IF((O9&lt;=C9),IF(P9&gt;=C9,"ANO","NE"),"NE")</f>
        <v>ANO</v>
      </c>
      <c r="N9" t="str">
        <f>IF((Q9&lt;=C9),IF(R9&gt;=C9,"ANO","NE"),"NE")</f>
        <v>ANO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</row>
    <row r="10" spans="1:18" x14ac:dyDescent="0.25">
      <c r="G10" t="e">
        <f t="shared" si="0"/>
        <v>#DIV/0!</v>
      </c>
      <c r="H10" t="e">
        <f t="shared" si="1"/>
        <v>#DIV/0!</v>
      </c>
      <c r="I10" t="e">
        <f>C10/(K10/100)</f>
        <v>#DIV/0!</v>
      </c>
      <c r="J10">
        <f t="shared" si="2"/>
        <v>0</v>
      </c>
      <c r="K10">
        <f t="shared" si="3"/>
        <v>0</v>
      </c>
      <c r="M10" t="str">
        <f t="shared" si="4"/>
        <v>ANO</v>
      </c>
      <c r="N10" t="str">
        <f t="shared" si="5"/>
        <v>ANO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</row>
    <row r="11" spans="1:18" x14ac:dyDescent="0.25">
      <c r="G11" t="e">
        <f>(50*C11-50*A12*E11-D11*A12*E11)/(-1*A12*E11)</f>
        <v>#DIV/0!</v>
      </c>
      <c r="H11" t="e">
        <f t="shared" si="1"/>
        <v>#DIV/0!</v>
      </c>
      <c r="I11" t="e">
        <f>C11/(K11/100)</f>
        <v>#DIV/0!</v>
      </c>
      <c r="J11">
        <f t="shared" si="2"/>
        <v>0</v>
      </c>
      <c r="K11">
        <f t="shared" si="3"/>
        <v>0</v>
      </c>
      <c r="M11" t="str">
        <f t="shared" si="4"/>
        <v>ANO</v>
      </c>
      <c r="N11" t="str">
        <f t="shared" si="5"/>
        <v>ANO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</row>
    <row r="12" spans="1:18" x14ac:dyDescent="0.25">
      <c r="A12" s="2"/>
      <c r="B12" s="1"/>
      <c r="C12" s="1"/>
      <c r="F12" s="1"/>
      <c r="G12" t="e">
        <f t="shared" si="0"/>
        <v>#DIV/0!</v>
      </c>
      <c r="H12" t="e">
        <f t="shared" si="1"/>
        <v>#DIV/0!</v>
      </c>
      <c r="J12">
        <f t="shared" si="2"/>
        <v>0</v>
      </c>
      <c r="K12">
        <f t="shared" si="3"/>
        <v>0</v>
      </c>
      <c r="M12" t="str">
        <f t="shared" si="4"/>
        <v>ANO</v>
      </c>
      <c r="N12" t="str">
        <f t="shared" si="5"/>
        <v>ANO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</row>
    <row r="13" spans="1:18" x14ac:dyDescent="0.25">
      <c r="A13" s="2"/>
      <c r="G13" t="e">
        <f t="shared" si="0"/>
        <v>#DIV/0!</v>
      </c>
      <c r="H13" t="e">
        <f t="shared" si="1"/>
        <v>#DIV/0!</v>
      </c>
      <c r="J13">
        <f t="shared" si="2"/>
        <v>0</v>
      </c>
      <c r="K13">
        <f t="shared" si="3"/>
        <v>0</v>
      </c>
      <c r="M13" t="str">
        <f t="shared" si="4"/>
        <v>ANO</v>
      </c>
      <c r="N13" t="str">
        <f t="shared" si="5"/>
        <v>ANO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</row>
    <row r="14" spans="1:18" x14ac:dyDescent="0.25">
      <c r="G14" t="e">
        <f t="shared" si="0"/>
        <v>#DIV/0!</v>
      </c>
      <c r="H14" t="e">
        <f t="shared" si="1"/>
        <v>#DIV/0!</v>
      </c>
      <c r="J14">
        <f t="shared" si="2"/>
        <v>0</v>
      </c>
      <c r="K14">
        <f t="shared" si="3"/>
        <v>0</v>
      </c>
      <c r="M14" t="str">
        <f t="shared" si="4"/>
        <v>ANO</v>
      </c>
      <c r="N14" t="str">
        <f t="shared" si="5"/>
        <v>ANO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</row>
    <row r="15" spans="1:18" x14ac:dyDescent="0.25">
      <c r="G15" t="e">
        <f t="shared" si="0"/>
        <v>#DIV/0!</v>
      </c>
      <c r="H15" t="e">
        <f t="shared" si="1"/>
        <v>#DIV/0!</v>
      </c>
      <c r="J15">
        <f t="shared" si="2"/>
        <v>0</v>
      </c>
      <c r="K15">
        <f t="shared" si="3"/>
        <v>0</v>
      </c>
      <c r="M15" t="str">
        <f t="shared" si="4"/>
        <v>ANO</v>
      </c>
      <c r="N15" t="str">
        <f t="shared" si="5"/>
        <v>ANO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</row>
    <row r="16" spans="1:18" x14ac:dyDescent="0.25">
      <c r="G16" t="e">
        <f t="shared" si="0"/>
        <v>#DIV/0!</v>
      </c>
      <c r="H16" t="e">
        <f t="shared" si="1"/>
        <v>#DIV/0!</v>
      </c>
      <c r="J16">
        <f t="shared" si="2"/>
        <v>0</v>
      </c>
      <c r="K16">
        <f t="shared" si="3"/>
        <v>0</v>
      </c>
      <c r="M16" t="str">
        <f t="shared" si="4"/>
        <v>ANO</v>
      </c>
      <c r="N16" t="str">
        <f t="shared" si="5"/>
        <v>ANO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</row>
    <row r="17" spans="2:18" x14ac:dyDescent="0.25">
      <c r="G17" t="e">
        <f t="shared" si="0"/>
        <v>#DIV/0!</v>
      </c>
      <c r="H17" t="e">
        <f t="shared" si="1"/>
        <v>#DIV/0!</v>
      </c>
      <c r="J17">
        <f t="shared" si="2"/>
        <v>0</v>
      </c>
      <c r="K17">
        <f t="shared" si="3"/>
        <v>0</v>
      </c>
      <c r="M17" t="str">
        <f t="shared" si="4"/>
        <v>ANO</v>
      </c>
      <c r="N17" t="str">
        <f t="shared" si="5"/>
        <v>ANO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</row>
    <row r="18" spans="2:18" x14ac:dyDescent="0.25">
      <c r="G18" t="e">
        <f t="shared" si="0"/>
        <v>#DIV/0!</v>
      </c>
      <c r="H18" t="e">
        <f t="shared" si="1"/>
        <v>#DIV/0!</v>
      </c>
      <c r="J18">
        <f t="shared" si="2"/>
        <v>0</v>
      </c>
      <c r="K18">
        <f t="shared" si="3"/>
        <v>0</v>
      </c>
      <c r="M18" t="str">
        <f t="shared" si="4"/>
        <v>ANO</v>
      </c>
      <c r="N18" t="str">
        <f t="shared" si="5"/>
        <v>ANO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</row>
    <row r="21" spans="2:18" x14ac:dyDescent="0.25">
      <c r="B21" t="s">
        <v>14</v>
      </c>
      <c r="C21" t="s">
        <v>13</v>
      </c>
      <c r="E21" t="s">
        <v>15</v>
      </c>
      <c r="F21" t="s">
        <v>10</v>
      </c>
      <c r="G21" t="s">
        <v>11</v>
      </c>
      <c r="H21" t="s">
        <v>12</v>
      </c>
      <c r="I21" t="s">
        <v>72</v>
      </c>
    </row>
    <row r="22" spans="2:18" x14ac:dyDescent="0.25">
      <c r="B22">
        <v>120</v>
      </c>
      <c r="C22">
        <v>100</v>
      </c>
      <c r="E22">
        <v>7</v>
      </c>
      <c r="F22">
        <v>0</v>
      </c>
      <c r="G22">
        <v>12</v>
      </c>
      <c r="H22">
        <v>42</v>
      </c>
    </row>
    <row r="25" spans="2:18" x14ac:dyDescent="0.25">
      <c r="E25" t="s">
        <v>75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E6" sqref="E6"/>
    </sheetView>
  </sheetViews>
  <sheetFormatPr defaultRowHeight="15" x14ac:dyDescent="0.25"/>
  <cols>
    <col min="2" max="2" width="11.42578125" customWidth="1"/>
    <col min="5" max="5" width="10.7109375" customWidth="1"/>
    <col min="6" max="6" width="13.42578125" customWidth="1"/>
    <col min="7" max="7" width="16.140625" customWidth="1"/>
    <col min="8" max="8" width="17" customWidth="1"/>
    <col min="9" max="9" width="16.85546875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B2" s="1">
        <v>10000</v>
      </c>
      <c r="C2" s="1">
        <v>168896</v>
      </c>
      <c r="D2" s="1">
        <v>14</v>
      </c>
      <c r="E2" s="1">
        <v>15</v>
      </c>
      <c r="F2">
        <v>3</v>
      </c>
      <c r="G2">
        <f>(50*C2-50*B2*E2-D2*B2*E2)/(-1*B2*E2)</f>
        <v>7.7013333333333334</v>
      </c>
      <c r="H2">
        <f>(20*C2-20*B2*E2-D2*B2*E2)/(-1*B2*E2)</f>
        <v>11.480533333333334</v>
      </c>
      <c r="I2">
        <f t="shared" ref="I2:I10" si="0">C2/(K2/100)</f>
        <v>72.643440860215051</v>
      </c>
      <c r="J2">
        <f>B2*E2*(1+(D2-F2)/50)</f>
        <v>183000</v>
      </c>
      <c r="K2">
        <f>B2*E2*(1+(D2-F2)/20)</f>
        <v>232500</v>
      </c>
      <c r="M2" t="str">
        <f>IF((O2&lt;=C2),IF(P2&gt;=C2,"ANO","NE"),"NE")</f>
        <v>ANO</v>
      </c>
      <c r="N2" t="str">
        <f>IF((Q2&lt;=C2),IF(R2&gt;=C2,"ANO","NE"),"NE")</f>
        <v>NE</v>
      </c>
      <c r="O2">
        <f>J2*0.9</f>
        <v>164700</v>
      </c>
      <c r="P2">
        <f>J2*1.1</f>
        <v>201300.00000000003</v>
      </c>
      <c r="Q2">
        <f>K2*0.9</f>
        <v>209250</v>
      </c>
      <c r="R2">
        <f>K2*1.1</f>
        <v>255750.00000000003</v>
      </c>
    </row>
    <row r="3" spans="1:18" x14ac:dyDescent="0.25">
      <c r="B3">
        <v>10000</v>
      </c>
      <c r="C3">
        <v>180993</v>
      </c>
      <c r="D3">
        <v>14</v>
      </c>
      <c r="E3" s="1">
        <v>15</v>
      </c>
      <c r="F3">
        <v>0</v>
      </c>
      <c r="G3">
        <f t="shared" ref="G3:G18" si="1">(50*C3-50*B3*E3-D3*B3*E3)/(-1*B3*E3)</f>
        <v>3.669</v>
      </c>
      <c r="H3">
        <f t="shared" ref="H3:H18" si="2">(20*C3-20*B3*E3-D3*B3*E3)/(-1*B3*E3)</f>
        <v>9.8675999999999995</v>
      </c>
      <c r="I3">
        <f t="shared" si="0"/>
        <v>70.977647058823536</v>
      </c>
      <c r="J3">
        <f t="shared" ref="J3:J18" si="3">B3*E3*(1+(D3-F3)/50)</f>
        <v>192000</v>
      </c>
      <c r="K3">
        <f t="shared" ref="K3:K18" si="4">B3*E3*(1+(D3-F3)/20)</f>
        <v>255000</v>
      </c>
      <c r="M3" t="str">
        <f t="shared" ref="M3:M18" si="5">IF((O3&lt;=C3),IF(P3&gt;=C3,"ANO","NE"),"NE")</f>
        <v>ANO</v>
      </c>
      <c r="N3" t="str">
        <f t="shared" ref="N3:N18" si="6">IF((Q3&lt;=C3),IF(R3&gt;=C3,"ANO","NE"),"NE")</f>
        <v>NE</v>
      </c>
      <c r="O3">
        <f t="shared" ref="O3:O18" si="7">J3*0.9</f>
        <v>172800</v>
      </c>
      <c r="P3">
        <f t="shared" ref="P3:P18" si="8">J3*1.1</f>
        <v>211200.00000000003</v>
      </c>
      <c r="Q3">
        <f t="shared" ref="Q3:Q18" si="9">K3*0.9</f>
        <v>229500</v>
      </c>
      <c r="R3">
        <f t="shared" ref="R3:R18" si="10">K3*1.1</f>
        <v>280500</v>
      </c>
    </row>
    <row r="4" spans="1:18" x14ac:dyDescent="0.25">
      <c r="E4" s="1">
        <v>15</v>
      </c>
      <c r="G4" t="e">
        <f t="shared" si="1"/>
        <v>#DIV/0!</v>
      </c>
      <c r="H4" t="e">
        <f t="shared" si="2"/>
        <v>#DIV/0!</v>
      </c>
      <c r="I4" t="e">
        <f t="shared" si="0"/>
        <v>#DIV/0!</v>
      </c>
      <c r="J4">
        <f t="shared" si="3"/>
        <v>0</v>
      </c>
      <c r="K4">
        <f t="shared" si="4"/>
        <v>0</v>
      </c>
      <c r="M4" t="str">
        <f t="shared" si="5"/>
        <v>ANO</v>
      </c>
      <c r="N4" t="str">
        <f t="shared" si="6"/>
        <v>ANO</v>
      </c>
      <c r="O4">
        <f t="shared" si="7"/>
        <v>0</v>
      </c>
      <c r="P4">
        <f t="shared" si="8"/>
        <v>0</v>
      </c>
      <c r="Q4">
        <f t="shared" si="9"/>
        <v>0</v>
      </c>
      <c r="R4">
        <f t="shared" si="10"/>
        <v>0</v>
      </c>
    </row>
    <row r="5" spans="1:18" x14ac:dyDescent="0.25">
      <c r="E5" s="1">
        <v>15</v>
      </c>
      <c r="G5" t="e">
        <f t="shared" si="1"/>
        <v>#DIV/0!</v>
      </c>
      <c r="H5" t="e">
        <f t="shared" si="2"/>
        <v>#DIV/0!</v>
      </c>
      <c r="I5" t="e">
        <f t="shared" si="0"/>
        <v>#DIV/0!</v>
      </c>
      <c r="J5">
        <f t="shared" si="3"/>
        <v>0</v>
      </c>
      <c r="K5">
        <f t="shared" si="4"/>
        <v>0</v>
      </c>
      <c r="M5" t="str">
        <f t="shared" si="5"/>
        <v>ANO</v>
      </c>
      <c r="N5" t="str">
        <f t="shared" si="6"/>
        <v>ANO</v>
      </c>
      <c r="O5">
        <f t="shared" si="7"/>
        <v>0</v>
      </c>
      <c r="P5">
        <f t="shared" si="8"/>
        <v>0</v>
      </c>
      <c r="Q5">
        <f t="shared" si="9"/>
        <v>0</v>
      </c>
      <c r="R5">
        <f t="shared" si="10"/>
        <v>0</v>
      </c>
    </row>
    <row r="6" spans="1:18" x14ac:dyDescent="0.25">
      <c r="B6" s="1">
        <v>10000</v>
      </c>
      <c r="C6" s="1">
        <v>140000</v>
      </c>
      <c r="D6">
        <v>80</v>
      </c>
      <c r="E6" s="1">
        <v>15</v>
      </c>
      <c r="F6" s="1">
        <v>80</v>
      </c>
      <c r="G6">
        <f t="shared" si="1"/>
        <v>83.333333333333329</v>
      </c>
      <c r="H6">
        <f t="shared" si="2"/>
        <v>81.333333333333329</v>
      </c>
      <c r="I6">
        <f t="shared" si="0"/>
        <v>93.333333333333329</v>
      </c>
      <c r="J6">
        <f t="shared" si="3"/>
        <v>150000</v>
      </c>
      <c r="K6">
        <f t="shared" si="4"/>
        <v>150000</v>
      </c>
      <c r="M6" t="str">
        <f t="shared" si="5"/>
        <v>ANO</v>
      </c>
      <c r="N6" t="str">
        <f t="shared" si="6"/>
        <v>ANO</v>
      </c>
      <c r="O6">
        <f t="shared" si="7"/>
        <v>135000</v>
      </c>
      <c r="P6">
        <f t="shared" si="8"/>
        <v>165000</v>
      </c>
      <c r="Q6">
        <f t="shared" si="9"/>
        <v>135000</v>
      </c>
      <c r="R6">
        <f t="shared" si="10"/>
        <v>165000</v>
      </c>
    </row>
    <row r="7" spans="1:18" x14ac:dyDescent="0.25">
      <c r="B7" s="1">
        <v>10000</v>
      </c>
      <c r="C7" s="1">
        <v>145600</v>
      </c>
      <c r="D7">
        <v>80</v>
      </c>
      <c r="E7" s="1">
        <v>15</v>
      </c>
      <c r="F7" s="1">
        <v>80</v>
      </c>
      <c r="G7">
        <f t="shared" si="1"/>
        <v>81.466666666666669</v>
      </c>
      <c r="H7">
        <f t="shared" si="2"/>
        <v>80.586666666666673</v>
      </c>
      <c r="I7">
        <f t="shared" si="0"/>
        <v>97.066666666666663</v>
      </c>
      <c r="J7">
        <f t="shared" si="3"/>
        <v>150000</v>
      </c>
      <c r="K7">
        <f t="shared" si="4"/>
        <v>150000</v>
      </c>
      <c r="M7" t="str">
        <f t="shared" si="5"/>
        <v>ANO</v>
      </c>
      <c r="N7" t="str">
        <f t="shared" si="6"/>
        <v>ANO</v>
      </c>
      <c r="O7">
        <f t="shared" si="7"/>
        <v>135000</v>
      </c>
      <c r="P7">
        <f t="shared" si="8"/>
        <v>165000</v>
      </c>
      <c r="Q7">
        <f t="shared" si="9"/>
        <v>135000</v>
      </c>
      <c r="R7">
        <f t="shared" si="10"/>
        <v>165000</v>
      </c>
    </row>
    <row r="8" spans="1:18" x14ac:dyDescent="0.25">
      <c r="B8" s="1">
        <v>10000</v>
      </c>
      <c r="C8" s="1">
        <v>179201</v>
      </c>
      <c r="D8">
        <v>14</v>
      </c>
      <c r="E8" s="1">
        <v>15</v>
      </c>
      <c r="F8" s="1">
        <v>11</v>
      </c>
      <c r="G8">
        <f t="shared" si="1"/>
        <v>4.2663333333333338</v>
      </c>
      <c r="H8">
        <f t="shared" si="2"/>
        <v>10.106533333333333</v>
      </c>
      <c r="I8">
        <f t="shared" si="0"/>
        <v>103.88463768115942</v>
      </c>
      <c r="J8">
        <f t="shared" si="3"/>
        <v>159000</v>
      </c>
      <c r="K8">
        <f t="shared" si="4"/>
        <v>172500</v>
      </c>
      <c r="M8" t="str">
        <f t="shared" si="5"/>
        <v>NE</v>
      </c>
      <c r="N8" t="str">
        <f t="shared" si="6"/>
        <v>ANO</v>
      </c>
      <c r="O8">
        <f t="shared" si="7"/>
        <v>143100</v>
      </c>
      <c r="P8">
        <f t="shared" si="8"/>
        <v>174900</v>
      </c>
      <c r="Q8">
        <f t="shared" si="9"/>
        <v>155250</v>
      </c>
      <c r="R8">
        <f t="shared" si="10"/>
        <v>189750.00000000003</v>
      </c>
    </row>
    <row r="9" spans="1:18" x14ac:dyDescent="0.25">
      <c r="B9" s="1">
        <v>10000</v>
      </c>
      <c r="C9" s="1">
        <v>184577</v>
      </c>
      <c r="D9">
        <v>14</v>
      </c>
      <c r="E9" s="1">
        <v>15</v>
      </c>
      <c r="F9" s="1">
        <v>11</v>
      </c>
      <c r="G9">
        <f>(50*C9-50*B9*E9-D9*B9*E9)/(-1*B9*E9)</f>
        <v>2.4743333333333335</v>
      </c>
      <c r="H9">
        <f>(20*C9-20*B9*E9-D9*B9*E9)/(-1*B9*E9)</f>
        <v>9.3897333333333339</v>
      </c>
      <c r="I9">
        <f t="shared" si="0"/>
        <v>107.00115942028985</v>
      </c>
      <c r="J9">
        <f t="shared" si="3"/>
        <v>159000</v>
      </c>
      <c r="K9">
        <f t="shared" si="4"/>
        <v>172500</v>
      </c>
      <c r="M9" t="str">
        <f t="shared" si="5"/>
        <v>NE</v>
      </c>
      <c r="N9" t="str">
        <f t="shared" si="6"/>
        <v>ANO</v>
      </c>
      <c r="O9">
        <f t="shared" si="7"/>
        <v>143100</v>
      </c>
      <c r="P9">
        <f t="shared" si="8"/>
        <v>174900</v>
      </c>
      <c r="Q9">
        <f t="shared" si="9"/>
        <v>155250</v>
      </c>
      <c r="R9">
        <f t="shared" si="10"/>
        <v>189750.00000000003</v>
      </c>
    </row>
    <row r="10" spans="1:18" x14ac:dyDescent="0.25">
      <c r="B10" s="1">
        <v>10000</v>
      </c>
      <c r="C10" s="1">
        <v>166656</v>
      </c>
      <c r="D10">
        <v>14</v>
      </c>
      <c r="E10" s="1">
        <v>15</v>
      </c>
      <c r="F10" s="1">
        <v>11</v>
      </c>
      <c r="G10">
        <f t="shared" si="1"/>
        <v>8.4480000000000004</v>
      </c>
      <c r="H10">
        <f t="shared" si="2"/>
        <v>11.779199999999999</v>
      </c>
      <c r="I10">
        <f t="shared" si="0"/>
        <v>96.612173913043478</v>
      </c>
      <c r="J10">
        <f t="shared" si="3"/>
        <v>159000</v>
      </c>
      <c r="K10">
        <f t="shared" si="4"/>
        <v>172500</v>
      </c>
      <c r="M10" t="str">
        <f t="shared" si="5"/>
        <v>ANO</v>
      </c>
      <c r="N10" t="str">
        <f t="shared" si="6"/>
        <v>ANO</v>
      </c>
      <c r="O10">
        <f t="shared" si="7"/>
        <v>143100</v>
      </c>
      <c r="P10">
        <f t="shared" si="8"/>
        <v>174900</v>
      </c>
      <c r="Q10">
        <f t="shared" si="9"/>
        <v>155250</v>
      </c>
      <c r="R10">
        <f t="shared" si="10"/>
        <v>189750.00000000003</v>
      </c>
    </row>
    <row r="11" spans="1:18" x14ac:dyDescent="0.25">
      <c r="B11" s="1">
        <v>10000</v>
      </c>
      <c r="C11" s="1">
        <v>173600</v>
      </c>
      <c r="D11">
        <v>14</v>
      </c>
      <c r="E11" s="1">
        <v>15</v>
      </c>
      <c r="F11" s="1">
        <v>7</v>
      </c>
      <c r="G11" t="e">
        <f>(50*C11-50*A12*E11-D11*A12*E11)/(-1*A12*E11)</f>
        <v>#DIV/0!</v>
      </c>
      <c r="H11" t="e">
        <f>(20*C11-20*A12*E11-D11*A12*E11)/(-1*A12*E11)</f>
        <v>#DIV/0!</v>
      </c>
      <c r="I11">
        <f>C11/(K11/100)</f>
        <v>85.728395061728392</v>
      </c>
      <c r="J11">
        <f t="shared" si="3"/>
        <v>171000.00000000003</v>
      </c>
      <c r="K11">
        <f t="shared" si="4"/>
        <v>202500</v>
      </c>
      <c r="M11" t="str">
        <f t="shared" si="5"/>
        <v>ANO</v>
      </c>
      <c r="N11" t="str">
        <f t="shared" si="6"/>
        <v>NE</v>
      </c>
      <c r="O11">
        <f t="shared" si="7"/>
        <v>153900.00000000003</v>
      </c>
      <c r="P11">
        <f t="shared" si="8"/>
        <v>188100.00000000006</v>
      </c>
      <c r="Q11">
        <f t="shared" si="9"/>
        <v>182250</v>
      </c>
      <c r="R11">
        <f t="shared" si="10"/>
        <v>222750.00000000003</v>
      </c>
    </row>
    <row r="12" spans="1:18" x14ac:dyDescent="0.25">
      <c r="A12" s="2"/>
      <c r="B12" s="1">
        <v>10000</v>
      </c>
      <c r="C12" s="1">
        <v>166320</v>
      </c>
      <c r="D12">
        <v>14</v>
      </c>
      <c r="E12" s="1">
        <v>15</v>
      </c>
      <c r="F12" s="1">
        <v>2</v>
      </c>
      <c r="G12">
        <f t="shared" si="1"/>
        <v>8.56</v>
      </c>
      <c r="H12">
        <f t="shared" si="2"/>
        <v>11.824</v>
      </c>
      <c r="I12">
        <f>C12/(K12/100)</f>
        <v>69.3</v>
      </c>
      <c r="J12">
        <f t="shared" si="3"/>
        <v>186000</v>
      </c>
      <c r="K12">
        <f t="shared" si="4"/>
        <v>240000</v>
      </c>
      <c r="M12" t="str">
        <f t="shared" si="5"/>
        <v>NE</v>
      </c>
      <c r="N12" t="str">
        <f t="shared" si="6"/>
        <v>NE</v>
      </c>
      <c r="O12">
        <f t="shared" si="7"/>
        <v>167400</v>
      </c>
      <c r="P12">
        <f t="shared" si="8"/>
        <v>204600.00000000003</v>
      </c>
      <c r="Q12">
        <f t="shared" si="9"/>
        <v>216000</v>
      </c>
      <c r="R12">
        <f t="shared" si="10"/>
        <v>264000</v>
      </c>
    </row>
    <row r="13" spans="1:18" x14ac:dyDescent="0.25">
      <c r="A13" s="2"/>
      <c r="G13" t="e">
        <f t="shared" si="1"/>
        <v>#DIV/0!</v>
      </c>
      <c r="H13" t="e">
        <f t="shared" si="2"/>
        <v>#DIV/0!</v>
      </c>
      <c r="J13">
        <f t="shared" si="3"/>
        <v>0</v>
      </c>
      <c r="K13">
        <f t="shared" si="4"/>
        <v>0</v>
      </c>
      <c r="M13" t="str">
        <f t="shared" si="5"/>
        <v>ANO</v>
      </c>
      <c r="N13" t="str">
        <f t="shared" si="6"/>
        <v>ANO</v>
      </c>
      <c r="O13">
        <f t="shared" si="7"/>
        <v>0</v>
      </c>
      <c r="P13">
        <f t="shared" si="8"/>
        <v>0</v>
      </c>
      <c r="Q13">
        <f t="shared" si="9"/>
        <v>0</v>
      </c>
      <c r="R13">
        <f t="shared" si="10"/>
        <v>0</v>
      </c>
    </row>
    <row r="14" spans="1:18" x14ac:dyDescent="0.25">
      <c r="G14" t="e">
        <f t="shared" si="1"/>
        <v>#DIV/0!</v>
      </c>
      <c r="H14" t="e">
        <f t="shared" si="2"/>
        <v>#DIV/0!</v>
      </c>
      <c r="J14">
        <f t="shared" si="3"/>
        <v>0</v>
      </c>
      <c r="K14">
        <f t="shared" si="4"/>
        <v>0</v>
      </c>
      <c r="M14" t="str">
        <f t="shared" si="5"/>
        <v>ANO</v>
      </c>
      <c r="N14" t="str">
        <f t="shared" si="6"/>
        <v>ANO</v>
      </c>
      <c r="O14">
        <f t="shared" si="7"/>
        <v>0</v>
      </c>
      <c r="P14">
        <f t="shared" si="8"/>
        <v>0</v>
      </c>
      <c r="Q14">
        <f t="shared" si="9"/>
        <v>0</v>
      </c>
      <c r="R14">
        <f t="shared" si="10"/>
        <v>0</v>
      </c>
    </row>
    <row r="15" spans="1:18" x14ac:dyDescent="0.25">
      <c r="G15" t="e">
        <f t="shared" si="1"/>
        <v>#DIV/0!</v>
      </c>
      <c r="H15" t="e">
        <f t="shared" si="2"/>
        <v>#DIV/0!</v>
      </c>
      <c r="J15">
        <f t="shared" si="3"/>
        <v>0</v>
      </c>
      <c r="K15">
        <f t="shared" si="4"/>
        <v>0</v>
      </c>
      <c r="M15" t="str">
        <f t="shared" si="5"/>
        <v>ANO</v>
      </c>
      <c r="N15" t="str">
        <f t="shared" si="6"/>
        <v>ANO</v>
      </c>
      <c r="O15">
        <f t="shared" si="7"/>
        <v>0</v>
      </c>
      <c r="P15">
        <f t="shared" si="8"/>
        <v>0</v>
      </c>
      <c r="Q15">
        <f t="shared" si="9"/>
        <v>0</v>
      </c>
      <c r="R15">
        <f t="shared" si="10"/>
        <v>0</v>
      </c>
    </row>
    <row r="16" spans="1:18" x14ac:dyDescent="0.25">
      <c r="B16">
        <v>1</v>
      </c>
      <c r="C16">
        <v>197</v>
      </c>
      <c r="D16">
        <v>16</v>
      </c>
      <c r="E16">
        <v>120</v>
      </c>
      <c r="F16">
        <v>0</v>
      </c>
      <c r="G16">
        <f t="shared" si="1"/>
        <v>-16.083333333333332</v>
      </c>
      <c r="H16">
        <f t="shared" si="2"/>
        <v>3.1666666666666665</v>
      </c>
      <c r="J16">
        <f t="shared" si="3"/>
        <v>158.4</v>
      </c>
      <c r="K16">
        <f t="shared" si="4"/>
        <v>216</v>
      </c>
      <c r="M16" t="str">
        <f t="shared" si="5"/>
        <v>NE</v>
      </c>
      <c r="N16" t="str">
        <f t="shared" si="6"/>
        <v>ANO</v>
      </c>
      <c r="O16">
        <f t="shared" si="7"/>
        <v>142.56</v>
      </c>
      <c r="P16">
        <f t="shared" si="8"/>
        <v>174.24</v>
      </c>
      <c r="Q16">
        <f t="shared" si="9"/>
        <v>194.4</v>
      </c>
      <c r="R16">
        <f t="shared" si="10"/>
        <v>237.60000000000002</v>
      </c>
    </row>
    <row r="17" spans="2:18" x14ac:dyDescent="0.25">
      <c r="G17" t="e">
        <f t="shared" si="1"/>
        <v>#DIV/0!</v>
      </c>
      <c r="H17" t="e">
        <f t="shared" si="2"/>
        <v>#DIV/0!</v>
      </c>
      <c r="J17">
        <f t="shared" si="3"/>
        <v>0</v>
      </c>
      <c r="K17">
        <f t="shared" si="4"/>
        <v>0</v>
      </c>
      <c r="M17" t="str">
        <f t="shared" si="5"/>
        <v>ANO</v>
      </c>
      <c r="N17" t="str">
        <f t="shared" si="6"/>
        <v>ANO</v>
      </c>
      <c r="O17">
        <f t="shared" si="7"/>
        <v>0</v>
      </c>
      <c r="P17">
        <f t="shared" si="8"/>
        <v>0</v>
      </c>
      <c r="Q17">
        <f t="shared" si="9"/>
        <v>0</v>
      </c>
      <c r="R17">
        <f t="shared" si="10"/>
        <v>0</v>
      </c>
    </row>
    <row r="18" spans="2:18" x14ac:dyDescent="0.25">
      <c r="G18" t="e">
        <f t="shared" si="1"/>
        <v>#DIV/0!</v>
      </c>
      <c r="H18" t="e">
        <f t="shared" si="2"/>
        <v>#DIV/0!</v>
      </c>
      <c r="J18">
        <f t="shared" si="3"/>
        <v>0</v>
      </c>
      <c r="K18">
        <f t="shared" si="4"/>
        <v>0</v>
      </c>
      <c r="M18" t="str">
        <f t="shared" si="5"/>
        <v>ANO</v>
      </c>
      <c r="N18" t="str">
        <f t="shared" si="6"/>
        <v>ANO</v>
      </c>
      <c r="O18">
        <f t="shared" si="7"/>
        <v>0</v>
      </c>
      <c r="P18">
        <f t="shared" si="8"/>
        <v>0</v>
      </c>
      <c r="Q18">
        <f t="shared" si="9"/>
        <v>0</v>
      </c>
      <c r="R18">
        <f t="shared" si="10"/>
        <v>0</v>
      </c>
    </row>
    <row r="21" spans="2:18" x14ac:dyDescent="0.25">
      <c r="B21" t="s">
        <v>14</v>
      </c>
      <c r="C21" t="s">
        <v>13</v>
      </c>
      <c r="E21" t="s">
        <v>15</v>
      </c>
      <c r="F21" t="s">
        <v>10</v>
      </c>
      <c r="G21" t="s">
        <v>11</v>
      </c>
      <c r="H21" t="s">
        <v>12</v>
      </c>
      <c r="J21" t="s">
        <v>72</v>
      </c>
    </row>
    <row r="22" spans="2:18" x14ac:dyDescent="0.25">
      <c r="B22">
        <v>21</v>
      </c>
      <c r="C22">
        <v>20</v>
      </c>
      <c r="E22">
        <v>6</v>
      </c>
      <c r="F22">
        <v>0</v>
      </c>
      <c r="G22">
        <v>14</v>
      </c>
      <c r="H22">
        <v>15</v>
      </c>
    </row>
    <row r="23" spans="2:18" x14ac:dyDescent="0.25">
      <c r="E23" t="s">
        <v>74</v>
      </c>
    </row>
    <row r="24" spans="2:18" x14ac:dyDescent="0.25">
      <c r="E24" t="s">
        <v>73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activeCell="I20" sqref="I20"/>
    </sheetView>
  </sheetViews>
  <sheetFormatPr defaultRowHeight="15" x14ac:dyDescent="0.25"/>
  <cols>
    <col min="2" max="2" width="11.42578125" customWidth="1"/>
    <col min="5" max="5" width="10.7109375" customWidth="1"/>
    <col min="6" max="6" width="13.42578125" customWidth="1"/>
    <col min="7" max="7" width="16.140625" customWidth="1"/>
    <col min="8" max="8" width="17" customWidth="1"/>
    <col min="9" max="9" width="16.85546875" customWidth="1"/>
  </cols>
  <sheetData>
    <row r="1" spans="1:18" x14ac:dyDescent="0.25">
      <c r="B1" t="s">
        <v>0</v>
      </c>
      <c r="C1" t="s">
        <v>3</v>
      </c>
      <c r="D1" t="s">
        <v>2</v>
      </c>
      <c r="E1" t="s">
        <v>1</v>
      </c>
      <c r="F1" t="s">
        <v>8</v>
      </c>
      <c r="G1" t="s">
        <v>4</v>
      </c>
      <c r="H1" t="s">
        <v>5</v>
      </c>
      <c r="J1" t="s">
        <v>7</v>
      </c>
      <c r="K1" t="s">
        <v>6</v>
      </c>
    </row>
    <row r="2" spans="1:18" x14ac:dyDescent="0.25">
      <c r="B2" s="1">
        <v>1500</v>
      </c>
      <c r="C2" s="1">
        <v>264935</v>
      </c>
      <c r="D2" s="1">
        <v>20</v>
      </c>
      <c r="E2" s="1">
        <v>108</v>
      </c>
      <c r="F2">
        <v>8</v>
      </c>
      <c r="G2">
        <f>(50*C2-50*B2*E2-D2*B2*E2)/(-1*B2*E2)</f>
        <v>-11.770061728395062</v>
      </c>
      <c r="H2">
        <f>(20*C2-20*B2*E2-D2*B2*E2)/(-1*B2*E2)</f>
        <v>7.291975308641975</v>
      </c>
      <c r="I2">
        <f>C2/(J2/100)</f>
        <v>131.88719633612106</v>
      </c>
      <c r="J2">
        <f>B2*E2*(1+(D2-F2)/50)</f>
        <v>200880</v>
      </c>
      <c r="K2">
        <f>B2*E2*(1+(D2-F2)/20)</f>
        <v>259200</v>
      </c>
      <c r="M2" t="str">
        <f>IF((O2&lt;=C2),IF(P2&gt;=C2,"ANO","NE"),"NE")</f>
        <v>NE</v>
      </c>
      <c r="N2" t="str">
        <f>IF((Q2&lt;=C2),IF(R2&gt;=C2,"ANO","NE"),"NE")</f>
        <v>ANO</v>
      </c>
      <c r="O2">
        <f>J2*0.9</f>
        <v>180792</v>
      </c>
      <c r="P2">
        <f>J2*1.1</f>
        <v>220968.00000000003</v>
      </c>
      <c r="Q2">
        <f>K2*0.9</f>
        <v>233280</v>
      </c>
      <c r="R2">
        <f>K2*1.1</f>
        <v>285120</v>
      </c>
    </row>
    <row r="3" spans="1:18" x14ac:dyDescent="0.25">
      <c r="G3" t="e">
        <f t="shared" ref="G3:G18" si="0">(50*C3-50*B3*E3-D3*B3*E3)/(-1*B3*E3)</f>
        <v>#DIV/0!</v>
      </c>
      <c r="H3" t="e">
        <f t="shared" ref="H3:H18" si="1">(20*C3-20*B3*E3-D3*B3*E3)/(-1*B3*E3)</f>
        <v>#DIV/0!</v>
      </c>
      <c r="I3" t="e">
        <f>C3/(J3/100)</f>
        <v>#DIV/0!</v>
      </c>
      <c r="J3">
        <f t="shared" ref="J3:J18" si="2">B3*E3*(1+(D3-F3)/50)</f>
        <v>0</v>
      </c>
      <c r="K3">
        <f t="shared" ref="K3:K18" si="3">B3*E3*(1+(D3-F3)/20)</f>
        <v>0</v>
      </c>
      <c r="M3" t="str">
        <f t="shared" ref="M3:M18" si="4">IF((O3&lt;=C3),IF(P3&gt;=C3,"ANO","NE"),"NE")</f>
        <v>ANO</v>
      </c>
      <c r="N3" t="str">
        <f t="shared" ref="N3:N18" si="5">IF((Q3&lt;=C3),IF(R3&gt;=C3,"ANO","NE"),"NE")</f>
        <v>ANO</v>
      </c>
      <c r="O3">
        <f t="shared" ref="O3:O18" si="6">J3*0.9</f>
        <v>0</v>
      </c>
      <c r="P3">
        <f t="shared" ref="P3:P18" si="7">J3*1.1</f>
        <v>0</v>
      </c>
      <c r="Q3">
        <f t="shared" ref="Q3:Q18" si="8">K3*0.9</f>
        <v>0</v>
      </c>
      <c r="R3">
        <f t="shared" ref="R3:R18" si="9">K3*1.1</f>
        <v>0</v>
      </c>
    </row>
    <row r="4" spans="1:18" x14ac:dyDescent="0.25">
      <c r="G4" t="e">
        <f t="shared" si="0"/>
        <v>#DIV/0!</v>
      </c>
      <c r="H4" t="e">
        <f t="shared" si="1"/>
        <v>#DIV/0!</v>
      </c>
      <c r="I4" t="e">
        <f t="shared" ref="I4:I6" si="10">C4/(J4/100)</f>
        <v>#DIV/0!</v>
      </c>
      <c r="J4">
        <f t="shared" si="2"/>
        <v>0</v>
      </c>
      <c r="K4">
        <f t="shared" si="3"/>
        <v>0</v>
      </c>
      <c r="M4" t="str">
        <f t="shared" si="4"/>
        <v>ANO</v>
      </c>
      <c r="N4" t="str">
        <f t="shared" si="5"/>
        <v>ANO</v>
      </c>
      <c r="O4">
        <f t="shared" si="6"/>
        <v>0</v>
      </c>
      <c r="P4">
        <f t="shared" si="7"/>
        <v>0</v>
      </c>
      <c r="Q4">
        <f t="shared" si="8"/>
        <v>0</v>
      </c>
      <c r="R4">
        <f t="shared" si="9"/>
        <v>0</v>
      </c>
    </row>
    <row r="5" spans="1:18" x14ac:dyDescent="0.25">
      <c r="G5" t="e">
        <f t="shared" si="0"/>
        <v>#DIV/0!</v>
      </c>
      <c r="H5" t="e">
        <f t="shared" si="1"/>
        <v>#DIV/0!</v>
      </c>
      <c r="I5" t="e">
        <f t="shared" si="10"/>
        <v>#DIV/0!</v>
      </c>
      <c r="J5">
        <f t="shared" si="2"/>
        <v>0</v>
      </c>
      <c r="K5">
        <f t="shared" si="3"/>
        <v>0</v>
      </c>
      <c r="M5" t="str">
        <f t="shared" si="4"/>
        <v>ANO</v>
      </c>
      <c r="N5" t="str">
        <f t="shared" si="5"/>
        <v>ANO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</row>
    <row r="6" spans="1:18" x14ac:dyDescent="0.25">
      <c r="G6" t="e">
        <f t="shared" si="0"/>
        <v>#DIV/0!</v>
      </c>
      <c r="H6" t="e">
        <f t="shared" si="1"/>
        <v>#DIV/0!</v>
      </c>
      <c r="I6" t="e">
        <f t="shared" si="10"/>
        <v>#DIV/0!</v>
      </c>
      <c r="J6">
        <f t="shared" si="2"/>
        <v>0</v>
      </c>
      <c r="K6">
        <f t="shared" si="3"/>
        <v>0</v>
      </c>
      <c r="M6" t="str">
        <f t="shared" si="4"/>
        <v>ANO</v>
      </c>
      <c r="N6" t="str">
        <f t="shared" si="5"/>
        <v>ANO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</row>
    <row r="7" spans="1:18" x14ac:dyDescent="0.25">
      <c r="G7" t="e">
        <f t="shared" si="0"/>
        <v>#DIV/0!</v>
      </c>
      <c r="H7" t="e">
        <f t="shared" si="1"/>
        <v>#DIV/0!</v>
      </c>
      <c r="I7" t="e">
        <f t="shared" ref="I7" si="11">C7/(K7/100)</f>
        <v>#DIV/0!</v>
      </c>
      <c r="J7">
        <f t="shared" si="2"/>
        <v>0</v>
      </c>
      <c r="K7">
        <f t="shared" si="3"/>
        <v>0</v>
      </c>
      <c r="M7" t="str">
        <f t="shared" si="4"/>
        <v>ANO</v>
      </c>
      <c r="N7" t="str">
        <f t="shared" si="5"/>
        <v>ANO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</row>
    <row r="8" spans="1:18" x14ac:dyDescent="0.25">
      <c r="G8" t="e">
        <f t="shared" si="0"/>
        <v>#DIV/0!</v>
      </c>
      <c r="H8" t="e">
        <f t="shared" si="1"/>
        <v>#DIV/0!</v>
      </c>
      <c r="I8" t="e">
        <f>C8/(K8/100)</f>
        <v>#DIV/0!</v>
      </c>
      <c r="J8">
        <f t="shared" si="2"/>
        <v>0</v>
      </c>
      <c r="K8">
        <f t="shared" si="3"/>
        <v>0</v>
      </c>
      <c r="M8" t="str">
        <f t="shared" si="4"/>
        <v>ANO</v>
      </c>
      <c r="N8" t="str">
        <f t="shared" si="5"/>
        <v>ANO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</row>
    <row r="9" spans="1:18" x14ac:dyDescent="0.25">
      <c r="G9" t="e">
        <f>(50*C9-50*B9*E9-D9*B9*E9)/(-1*B9*E9)</f>
        <v>#DIV/0!</v>
      </c>
      <c r="H9" t="e">
        <f>(20*C9-20*B9*E9-D9*B9*E9)/(-1*B9*E9)</f>
        <v>#DIV/0!</v>
      </c>
      <c r="I9" t="e">
        <f>C9/(K9/100)</f>
        <v>#DIV/0!</v>
      </c>
      <c r="J9">
        <f t="shared" si="2"/>
        <v>0</v>
      </c>
      <c r="K9">
        <f t="shared" si="3"/>
        <v>0</v>
      </c>
      <c r="M9" t="str">
        <f t="shared" si="4"/>
        <v>ANO</v>
      </c>
      <c r="N9" t="str">
        <f t="shared" si="5"/>
        <v>ANO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</row>
    <row r="10" spans="1:18" x14ac:dyDescent="0.25">
      <c r="G10" t="e">
        <f t="shared" si="0"/>
        <v>#DIV/0!</v>
      </c>
      <c r="H10" t="e">
        <f t="shared" si="1"/>
        <v>#DIV/0!</v>
      </c>
      <c r="I10" t="e">
        <f>C10/(K10/100)</f>
        <v>#DIV/0!</v>
      </c>
      <c r="J10">
        <f t="shared" si="2"/>
        <v>0</v>
      </c>
      <c r="K10">
        <f t="shared" si="3"/>
        <v>0</v>
      </c>
      <c r="M10" t="str">
        <f t="shared" si="4"/>
        <v>ANO</v>
      </c>
      <c r="N10" t="str">
        <f t="shared" si="5"/>
        <v>ANO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</row>
    <row r="11" spans="1:18" x14ac:dyDescent="0.25">
      <c r="G11" t="e">
        <f>(50*C11-50*A12*E11-D11*A12*E11)/(-1*A12*E11)</f>
        <v>#DIV/0!</v>
      </c>
      <c r="H11" t="e">
        <f>(20*C11-20*A12*E11-D11*A12*E11)/(-1*A12*E11)</f>
        <v>#DIV/0!</v>
      </c>
      <c r="I11" t="e">
        <f>C11/(K11/100)</f>
        <v>#DIV/0!</v>
      </c>
      <c r="J11">
        <f t="shared" si="2"/>
        <v>0</v>
      </c>
      <c r="K11">
        <f t="shared" si="3"/>
        <v>0</v>
      </c>
      <c r="M11" t="str">
        <f t="shared" si="4"/>
        <v>ANO</v>
      </c>
      <c r="N11" t="str">
        <f t="shared" si="5"/>
        <v>ANO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</row>
    <row r="12" spans="1:18" x14ac:dyDescent="0.25">
      <c r="A12" s="2"/>
      <c r="B12" s="1"/>
      <c r="C12" s="1"/>
      <c r="F12" s="1"/>
      <c r="G12" t="e">
        <f t="shared" si="0"/>
        <v>#DIV/0!</v>
      </c>
      <c r="H12" t="e">
        <f t="shared" si="1"/>
        <v>#DIV/0!</v>
      </c>
      <c r="J12">
        <f t="shared" si="2"/>
        <v>0</v>
      </c>
      <c r="K12">
        <f t="shared" si="3"/>
        <v>0</v>
      </c>
      <c r="M12" t="str">
        <f t="shared" si="4"/>
        <v>ANO</v>
      </c>
      <c r="N12" t="str">
        <f t="shared" si="5"/>
        <v>ANO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</row>
    <row r="13" spans="1:18" x14ac:dyDescent="0.25">
      <c r="A13" s="2"/>
      <c r="G13" t="e">
        <f t="shared" si="0"/>
        <v>#DIV/0!</v>
      </c>
      <c r="H13" t="e">
        <f t="shared" si="1"/>
        <v>#DIV/0!</v>
      </c>
      <c r="J13">
        <f t="shared" si="2"/>
        <v>0</v>
      </c>
      <c r="K13">
        <f t="shared" si="3"/>
        <v>0</v>
      </c>
      <c r="M13" t="str">
        <f t="shared" si="4"/>
        <v>ANO</v>
      </c>
      <c r="N13" t="str">
        <f t="shared" si="5"/>
        <v>ANO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</row>
    <row r="14" spans="1:18" x14ac:dyDescent="0.25">
      <c r="G14" t="e">
        <f t="shared" si="0"/>
        <v>#DIV/0!</v>
      </c>
      <c r="H14" t="e">
        <f t="shared" si="1"/>
        <v>#DIV/0!</v>
      </c>
      <c r="J14">
        <f t="shared" si="2"/>
        <v>0</v>
      </c>
      <c r="K14">
        <f t="shared" si="3"/>
        <v>0</v>
      </c>
      <c r="M14" t="str">
        <f t="shared" si="4"/>
        <v>ANO</v>
      </c>
      <c r="N14" t="str">
        <f t="shared" si="5"/>
        <v>ANO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</row>
    <row r="15" spans="1:18" x14ac:dyDescent="0.25">
      <c r="G15" t="e">
        <f t="shared" si="0"/>
        <v>#DIV/0!</v>
      </c>
      <c r="H15" t="e">
        <f t="shared" si="1"/>
        <v>#DIV/0!</v>
      </c>
      <c r="J15">
        <f t="shared" si="2"/>
        <v>0</v>
      </c>
      <c r="K15">
        <f t="shared" si="3"/>
        <v>0</v>
      </c>
      <c r="M15" t="str">
        <f t="shared" si="4"/>
        <v>ANO</v>
      </c>
      <c r="N15" t="str">
        <f t="shared" si="5"/>
        <v>ANO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</row>
    <row r="16" spans="1:18" x14ac:dyDescent="0.25">
      <c r="G16" t="e">
        <f t="shared" si="0"/>
        <v>#DIV/0!</v>
      </c>
      <c r="H16" t="e">
        <f t="shared" si="1"/>
        <v>#DIV/0!</v>
      </c>
      <c r="J16">
        <f t="shared" si="2"/>
        <v>0</v>
      </c>
      <c r="K16">
        <f t="shared" si="3"/>
        <v>0</v>
      </c>
      <c r="M16" t="str">
        <f t="shared" si="4"/>
        <v>ANO</v>
      </c>
      <c r="N16" t="str">
        <f t="shared" si="5"/>
        <v>ANO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</row>
    <row r="17" spans="2:18" x14ac:dyDescent="0.25">
      <c r="G17" t="e">
        <f t="shared" si="0"/>
        <v>#DIV/0!</v>
      </c>
      <c r="H17" t="e">
        <f t="shared" si="1"/>
        <v>#DIV/0!</v>
      </c>
      <c r="J17">
        <f t="shared" si="2"/>
        <v>0</v>
      </c>
      <c r="K17">
        <f t="shared" si="3"/>
        <v>0</v>
      </c>
      <c r="M17" t="str">
        <f t="shared" si="4"/>
        <v>ANO</v>
      </c>
      <c r="N17" t="str">
        <f t="shared" si="5"/>
        <v>ANO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</row>
    <row r="18" spans="2:18" x14ac:dyDescent="0.25">
      <c r="G18" t="e">
        <f t="shared" si="0"/>
        <v>#DIV/0!</v>
      </c>
      <c r="H18" t="e">
        <f t="shared" si="1"/>
        <v>#DIV/0!</v>
      </c>
      <c r="J18">
        <f t="shared" si="2"/>
        <v>0</v>
      </c>
      <c r="K18">
        <f t="shared" si="3"/>
        <v>0</v>
      </c>
      <c r="M18" t="str">
        <f t="shared" si="4"/>
        <v>ANO</v>
      </c>
      <c r="N18" t="str">
        <f t="shared" si="5"/>
        <v>ANO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</row>
    <row r="21" spans="2:18" x14ac:dyDescent="0.25">
      <c r="B21" t="s">
        <v>14</v>
      </c>
      <c r="C21" t="s">
        <v>13</v>
      </c>
      <c r="E21" t="s">
        <v>15</v>
      </c>
      <c r="F21" t="s">
        <v>10</v>
      </c>
      <c r="G21" t="s">
        <v>11</v>
      </c>
      <c r="H21" t="s">
        <v>12</v>
      </c>
      <c r="J21" t="s">
        <v>49</v>
      </c>
      <c r="K21">
        <v>36</v>
      </c>
    </row>
    <row r="22" spans="2:18" x14ac:dyDescent="0.25">
      <c r="B22">
        <v>180</v>
      </c>
      <c r="C22">
        <v>150</v>
      </c>
      <c r="E22">
        <v>8</v>
      </c>
      <c r="F22">
        <v>0</v>
      </c>
      <c r="G22">
        <v>20</v>
      </c>
      <c r="H22">
        <v>72</v>
      </c>
      <c r="J22" t="s">
        <v>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jezdec</vt:lpstr>
      <vt:lpstr>tezky jezdec</vt:lpstr>
      <vt:lpstr>knez</vt:lpstr>
      <vt:lpstr>Stínový obr</vt:lpstr>
      <vt:lpstr>mág</vt:lpstr>
      <vt:lpstr>bestie</vt:lpstr>
      <vt:lpstr>Stínový jezdec</vt:lpstr>
      <vt:lpstr>Stínový válečník</vt:lpstr>
      <vt:lpstr>demoni stinovy mag</vt:lpstr>
      <vt:lpstr>Stínový Obrnený jezdec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2018-05-30T11:12:09Z</dcterms:modified>
</cp:coreProperties>
</file>